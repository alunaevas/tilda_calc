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ЭтаКнига"/>
  <bookViews>
    <workbookView xWindow="-120" yWindow="-120" windowWidth="29040" windowHeight="15720"/>
  </bookViews>
  <sheets>
    <sheet name="Из коридоров" sheetId="1" r:id="rId1"/>
    <sheet name="Климатологические данные" sheetId="2" r:id="rId2"/>
  </sheet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1" i="1" l="1"/>
  <c r="S23" i="1"/>
  <c r="R23" i="1"/>
  <c r="R22" i="1"/>
  <c r="S22" i="1" s="1"/>
  <c r="P22" i="1"/>
  <c r="M22" i="1"/>
  <c r="L22" i="1"/>
  <c r="N22" i="1" s="1"/>
  <c r="F22" i="1"/>
  <c r="C22" i="1"/>
  <c r="B22" i="1"/>
  <c r="D22" i="1" s="1"/>
  <c r="A22" i="1"/>
  <c r="S2" i="2" l="1"/>
  <c r="T3" i="2" s="1"/>
  <c r="E10" i="1"/>
  <c r="F10" i="1"/>
  <c r="T2" i="2" l="1"/>
  <c r="G10" i="1" s="1"/>
  <c r="H10" i="1"/>
  <c r="F30" i="1"/>
  <c r="K29" i="1" l="1"/>
  <c r="N9" i="1" l="1"/>
  <c r="G30" i="1"/>
  <c r="A20" i="1" l="1"/>
  <c r="F20" i="1" s="1"/>
  <c r="F21" i="1" s="1"/>
  <c r="L31" i="1"/>
  <c r="K31" i="1"/>
  <c r="G31" i="1"/>
  <c r="F31" i="1"/>
  <c r="F27" i="1" s="1"/>
  <c r="K27" i="1"/>
  <c r="G27" i="1"/>
  <c r="R21" i="1"/>
  <c r="S21" i="1" s="1"/>
  <c r="A21" i="1"/>
  <c r="R20" i="1"/>
  <c r="G15" i="1"/>
  <c r="B15" i="1"/>
  <c r="B14" i="1"/>
  <c r="B13" i="1"/>
  <c r="B12" i="1"/>
  <c r="B11" i="1"/>
  <c r="Q10" i="1"/>
  <c r="P10" i="1"/>
  <c r="M10" i="1"/>
  <c r="Q9" i="1"/>
  <c r="P9" i="1"/>
  <c r="M9" i="1"/>
  <c r="B8" i="1"/>
  <c r="B9" i="1" s="1"/>
  <c r="B10" i="1" s="1"/>
  <c r="L27" i="1" l="1"/>
  <c r="L32" i="1" s="1"/>
  <c r="L33" i="1" s="1"/>
  <c r="S20" i="1"/>
  <c r="K32" i="1"/>
  <c r="T20" i="1" s="1"/>
  <c r="B16" i="1"/>
  <c r="F32" i="1" s="1"/>
  <c r="J20" i="1" s="1"/>
  <c r="G20" i="1"/>
  <c r="K28" i="1"/>
  <c r="P20" i="1"/>
  <c r="P21" i="1" s="1"/>
  <c r="G28" i="1" l="1"/>
  <c r="L28" i="1"/>
  <c r="G32" i="1"/>
  <c r="G33" i="1" s="1"/>
  <c r="F28" i="1"/>
  <c r="K33" i="1"/>
  <c r="Q20" i="1"/>
  <c r="H20" i="1"/>
  <c r="F33" i="1"/>
  <c r="I20" i="1" l="1"/>
  <c r="C21" i="1"/>
  <c r="C20" i="1"/>
  <c r="M21" i="1"/>
  <c r="M20" i="1"/>
  <c r="B20" i="1"/>
  <c r="L20" i="1"/>
  <c r="O20" i="1" s="1"/>
  <c r="O21" i="1" s="1"/>
  <c r="L21" i="1"/>
  <c r="B23" i="1"/>
  <c r="B21" i="1"/>
  <c r="D21" i="1" l="1"/>
  <c r="N21" i="1"/>
  <c r="U21" i="1" s="1"/>
  <c r="D20" i="1"/>
  <c r="N20" i="1"/>
  <c r="E20" i="1"/>
  <c r="E21" i="1" s="1"/>
  <c r="G21" i="1" l="1"/>
  <c r="Q21" i="1"/>
  <c r="K21" i="1"/>
  <c r="H21" i="1" l="1"/>
  <c r="T21" i="1"/>
  <c r="O22" i="1" s="1"/>
  <c r="U22" i="1" s="1"/>
  <c r="I21" i="1" l="1"/>
  <c r="J21" i="1" l="1"/>
  <c r="E22" i="1" s="1"/>
  <c r="K22" i="1" l="1"/>
  <c r="Q22" i="1"/>
  <c r="G22" i="1"/>
  <c r="U24" i="1"/>
  <c r="H22" i="1" l="1"/>
  <c r="G23" i="1"/>
  <c r="T22" i="1"/>
  <c r="Q23" i="1"/>
  <c r="B26" i="1" s="1"/>
  <c r="R10" i="1" s="1"/>
  <c r="I22" i="1" l="1"/>
  <c r="H23" i="1"/>
  <c r="J22" i="1" l="1"/>
  <c r="I23" i="1"/>
  <c r="B25" i="1" s="1"/>
  <c r="R9" i="1" s="1"/>
  <c r="B29" i="1"/>
  <c r="B30" i="1" s="1"/>
</calcChain>
</file>

<file path=xl/sharedStrings.xml><?xml version="1.0" encoding="utf-8"?>
<sst xmlns="http://schemas.openxmlformats.org/spreadsheetml/2006/main" count="1904" uniqueCount="695">
  <si>
    <t>Исходные данные</t>
  </si>
  <si>
    <t>Кол-во этажей</t>
  </si>
  <si>
    <t>Номер первого расчетного этажа</t>
  </si>
  <si>
    <t>Температура наруж. воздуха в теплый период года (Параметр Б)</t>
  </si>
  <si>
    <t>Температура наруж. воздуха в хол. период года (Параметр Б)</t>
  </si>
  <si>
    <t>Температура внутреннего воздуха до начала пожара Tв, °С</t>
  </si>
  <si>
    <t>Высота коридора H, м</t>
  </si>
  <si>
    <t>Площадь коридора Fкор, м²</t>
  </si>
  <si>
    <t>Длина коридора l, м</t>
  </si>
  <si>
    <t>Удельная приведенная пожарная нагрузка отнесенная к площади пола q0, кг/м²</t>
  </si>
  <si>
    <t xml:space="preserve">
Удел. приведен. пож. нагруз. к площади тепловоспр. констр. gк, кг/м²</t>
  </si>
  <si>
    <t>Минимальное расстояние от помещения с очагом пожара до дымового клапана, м</t>
  </si>
  <si>
    <t>Конфигурация коридора</t>
  </si>
  <si>
    <t>Назначение здания</t>
  </si>
  <si>
    <t>Тип регулирования пожара</t>
  </si>
  <si>
    <t>прямолинейная</t>
  </si>
  <si>
    <t>ПРВ</t>
  </si>
  <si>
    <t>Характеристики воздуха и продуктов горения</t>
  </si>
  <si>
    <t>Шахта</t>
  </si>
  <si>
    <t>Материал шахты</t>
  </si>
  <si>
    <t>Удел. характ. газопрониц., м³/кг</t>
  </si>
  <si>
    <t>Коэффициент сопротивления трения</t>
  </si>
  <si>
    <t>Ширина, м</t>
  </si>
  <si>
    <t>Глубина, м</t>
  </si>
  <si>
    <t>Эквивалентный диаметр шахты dэкв, м</t>
  </si>
  <si>
    <t>Площадь проходного сечения, м²</t>
  </si>
  <si>
    <t>Скорость потока в шахте, м/с</t>
  </si>
  <si>
    <t>Шахта дымоудаления</t>
  </si>
  <si>
    <t>Металл</t>
  </si>
  <si>
    <t>Шахта компенсации</t>
  </si>
  <si>
    <t>Плотность внутреннего  воздуха ρв, кг/м³</t>
  </si>
  <si>
    <t>Данные по продуктам горения в вестибюле (или помещении отличном от расчетного коридора, но входящее в систему коридора)</t>
  </si>
  <si>
    <t>Плотность приточного  воздуха ТПГ ρп, кг/м³</t>
  </si>
  <si>
    <t>Массовый расход продуктов горения G, кг/с</t>
  </si>
  <si>
    <t>Температура продуктов горения, К</t>
  </si>
  <si>
    <t>Объемный расход, м³/ч</t>
  </si>
  <si>
    <t>Плотность приточного  воздуха ХПГ ρп, кг/м³</t>
  </si>
  <si>
    <t>Плотность продуктов горения ρпг, кг/м³</t>
  </si>
  <si>
    <t>Давление и расходы по этажам дымоудаления</t>
  </si>
  <si>
    <t>Давление и расходы по этажам компенсация</t>
  </si>
  <si>
    <t>№ Этажа</t>
  </si>
  <si>
    <t>Pннi, Па</t>
  </si>
  <si>
    <t>Pнзi, Па</t>
  </si>
  <si>
    <t>Pвi, Па</t>
  </si>
  <si>
    <t>Pшi, Па</t>
  </si>
  <si>
    <t>Высота до ур пола этажа от ур земли h, м</t>
  </si>
  <si>
    <t>Массовый расход продуктов горения в шахте Gш, кг/с</t>
  </si>
  <si>
    <t>Температура продуктов горения в шахте Tш, К</t>
  </si>
  <si>
    <t xml:space="preserve">Плотность воздуха ρш, кг/м³ </t>
  </si>
  <si>
    <t>Скорость продуктов горения в шахте Vш, м/с</t>
  </si>
  <si>
    <t>Подсосы ч/з клапаны, кг/с</t>
  </si>
  <si>
    <t>Pпннi, Па</t>
  </si>
  <si>
    <t>Pпнзi, Па</t>
  </si>
  <si>
    <t>Pпвi, Па</t>
  </si>
  <si>
    <t>Pпшi, Па</t>
  </si>
  <si>
    <t>Высота до ур пола этажа от ур земли hп, м</t>
  </si>
  <si>
    <t>Массовый расход продуктов горения в шахте Gпш, кг/с</t>
  </si>
  <si>
    <t>Температура в-ха в шахте Tпш, К</t>
  </si>
  <si>
    <t xml:space="preserve">Плотность воздуха ρпш, кг/м³ </t>
  </si>
  <si>
    <t>Скорость продуктов горения в шахте Vпш, м/с</t>
  </si>
  <si>
    <t>Подсосы п ч/з клапаны, кг/с</t>
  </si>
  <si>
    <t>Выброс Pвыбр, Па</t>
  </si>
  <si>
    <t>Конечное</t>
  </si>
  <si>
    <t>Характеристики оборудования</t>
  </si>
  <si>
    <t>Характеристики клапана-дымоприемника</t>
  </si>
  <si>
    <t>Характеристики клапана компенсации</t>
  </si>
  <si>
    <t>Производительность вентилятора дымоудаления Lвент, м³/ч</t>
  </si>
  <si>
    <t>Кол-во клапанов на этаже пожара</t>
  </si>
  <si>
    <t>Производительность вентилятора компенсации Lвент, м³/ч</t>
  </si>
  <si>
    <t>Характеристики клапана №1</t>
  </si>
  <si>
    <t>Характеристики клапана №2 (если есть)</t>
  </si>
  <si>
    <t>Потери давления в обвязке вентилятора дымоудаления, Па</t>
  </si>
  <si>
    <t>Массовый расход на клапане, кг/с</t>
  </si>
  <si>
    <t>Потери давления в обвязке вентилятора компенсации, Па</t>
  </si>
  <si>
    <t>Объемный расход на клапане, м³/ч</t>
  </si>
  <si>
    <t>Потери давления вентилятора дымоудаления, Па</t>
  </si>
  <si>
    <t>Ширина клапана</t>
  </si>
  <si>
    <t>Потери давления вентилятора дымоудаления при н.у., Па</t>
  </si>
  <si>
    <t>Высота клапана</t>
  </si>
  <si>
    <t>Потери давления вентилятора компенсации, Па</t>
  </si>
  <si>
    <t>Площадь проходного сечения клапана Fкл, м²</t>
  </si>
  <si>
    <t>Скорость продуктов горения в клапане Vкл, м/с</t>
  </si>
  <si>
    <t>Скорость воздуха в клапане Vкл, м/с</t>
  </si>
  <si>
    <t>Потери давления в клапане, ΔPкл, Па</t>
  </si>
  <si>
    <t>Населенный пункт</t>
  </si>
  <si>
    <t>Максимальная среднеобъемная температура в горящем помещенииT0макс, К</t>
  </si>
  <si>
    <t>Температура газов поступающих из горящего помещения в коридор T0, К</t>
  </si>
  <si>
    <t>Температура продуктов горения удаляемых из коридора Tпг, К</t>
  </si>
  <si>
    <t>Плотность наружного воздуха ТПГ ρн, кг/м³</t>
  </si>
  <si>
    <t>Плотность наружного воздуха ХПГ ρн, кг/м³</t>
  </si>
  <si>
    <t>Лопатка, мыс</t>
  </si>
  <si>
    <t>-18</t>
  </si>
  <si>
    <t>-15</t>
  </si>
  <si>
    <t>-16</t>
  </si>
  <si>
    <t>-13</t>
  </si>
  <si>
    <t>-7</t>
  </si>
  <si>
    <t>-21</t>
  </si>
  <si>
    <t>3,3</t>
  </si>
  <si>
    <t>1,7</t>
  </si>
  <si>
    <t>11,5</t>
  </si>
  <si>
    <t>Териберка</t>
  </si>
  <si>
    <t>-26</t>
  </si>
  <si>
    <t>-24</t>
  </si>
  <si>
    <t>-23</t>
  </si>
  <si>
    <t>-12</t>
  </si>
  <si>
    <t>-32</t>
  </si>
  <si>
    <t>6,0</t>
  </si>
  <si>
    <t>10,9</t>
  </si>
  <si>
    <t>Канин Нос</t>
  </si>
  <si>
    <t>-29</t>
  </si>
  <si>
    <t>-14</t>
  </si>
  <si>
    <t>-33</t>
  </si>
  <si>
    <t>5,7</t>
  </si>
  <si>
    <t>10,3</t>
  </si>
  <si>
    <t>7,8</t>
  </si>
  <si>
    <t>о.Беринга</t>
  </si>
  <si>
    <t>-11</t>
  </si>
  <si>
    <t>3,9</t>
  </si>
  <si>
    <t>1,4</t>
  </si>
  <si>
    <t>9,1</t>
  </si>
  <si>
    <t>Вайда-Губа</t>
  </si>
  <si>
    <t>-19</t>
  </si>
  <si>
    <t>-27</t>
  </si>
  <si>
    <t>5,5</t>
  </si>
  <si>
    <t>9,2</t>
  </si>
  <si>
    <t>6,7</t>
  </si>
  <si>
    <t>Индига</t>
  </si>
  <si>
    <t>-41</t>
  </si>
  <si>
    <t>-38</t>
  </si>
  <si>
    <t>-35</t>
  </si>
  <si>
    <t>-43</t>
  </si>
  <si>
    <t>8,2</t>
  </si>
  <si>
    <t>10,0</t>
  </si>
  <si>
    <t>6,6</t>
  </si>
  <si>
    <t>Владивосток</t>
  </si>
  <si>
    <t>-22</t>
  </si>
  <si>
    <t>-31</t>
  </si>
  <si>
    <t>7,1</t>
  </si>
  <si>
    <t>Анадырь</t>
  </si>
  <si>
    <t>-42</t>
  </si>
  <si>
    <t>-40</t>
  </si>
  <si>
    <t>-39</t>
  </si>
  <si>
    <t>-45</t>
  </si>
  <si>
    <t>6,3</t>
  </si>
  <si>
    <t>Диксон</t>
  </si>
  <si>
    <t>-44</t>
  </si>
  <si>
    <t>-48</t>
  </si>
  <si>
    <t>6,8</t>
  </si>
  <si>
    <t>9,0</t>
  </si>
  <si>
    <t>6,5</t>
  </si>
  <si>
    <t>Варандей</t>
  </si>
  <si>
    <t>-36</t>
  </si>
  <si>
    <t>-25</t>
  </si>
  <si>
    <t>8,6</t>
  </si>
  <si>
    <t>9,3</t>
  </si>
  <si>
    <t>о.Сосновец</t>
  </si>
  <si>
    <t>-30</t>
  </si>
  <si>
    <t>Ходовариха</t>
  </si>
  <si>
    <t>-37</t>
  </si>
  <si>
    <t>Чумикан</t>
  </si>
  <si>
    <t>-34</t>
  </si>
  <si>
    <t>5,0</t>
  </si>
  <si>
    <t>Марресаля</t>
  </si>
  <si>
    <t>-46</t>
  </si>
  <si>
    <t>-50</t>
  </si>
  <si>
    <t>7,9</t>
  </si>
  <si>
    <t>7,7</t>
  </si>
  <si>
    <t>6,2</t>
  </si>
  <si>
    <t>Элиста</t>
  </si>
  <si>
    <t>-28</t>
  </si>
  <si>
    <t>6,1</t>
  </si>
  <si>
    <t>Апука</t>
  </si>
  <si>
    <t>-20</t>
  </si>
  <si>
    <t>Курильск</t>
  </si>
  <si>
    <t>-17</t>
  </si>
  <si>
    <t>Челюскин, мыс</t>
  </si>
  <si>
    <t>-49</t>
  </si>
  <si>
    <t>8,3</t>
  </si>
  <si>
    <t>Невельск</t>
  </si>
  <si>
    <t>4,9</t>
  </si>
  <si>
    <t>Байдуков</t>
  </si>
  <si>
    <t>7,6</t>
  </si>
  <si>
    <t>Семлячики</t>
  </si>
  <si>
    <t>5,6</t>
  </si>
  <si>
    <t>Мариуполь</t>
  </si>
  <si>
    <t>4,8</t>
  </si>
  <si>
    <t>Воркута</t>
  </si>
  <si>
    <t>-52</t>
  </si>
  <si>
    <t>Пялица</t>
  </si>
  <si>
    <t>5,4</t>
  </si>
  <si>
    <t>Рубцовск</t>
  </si>
  <si>
    <t>Сосуново</t>
  </si>
  <si>
    <t>5,8</t>
  </si>
  <si>
    <t>Южно-Курильск</t>
  </si>
  <si>
    <t>Брохово</t>
  </si>
  <si>
    <t>6,9</t>
  </si>
  <si>
    <t>5,2</t>
  </si>
  <si>
    <t>Саранск</t>
  </si>
  <si>
    <t>Донецк</t>
  </si>
  <si>
    <t>Керчь</t>
  </si>
  <si>
    <t>-3</t>
  </si>
  <si>
    <t>5,9</t>
  </si>
  <si>
    <t>2,6</t>
  </si>
  <si>
    <t>3,4</t>
  </si>
  <si>
    <t>5,1</t>
  </si>
  <si>
    <t>Дудинка</t>
  </si>
  <si>
    <t>-47</t>
  </si>
  <si>
    <t>-57</t>
  </si>
  <si>
    <t>Чебоксары</t>
  </si>
  <si>
    <t>Камышин</t>
  </si>
  <si>
    <t>Корф</t>
  </si>
  <si>
    <t>Симферополь</t>
  </si>
  <si>
    <t>32</t>
  </si>
  <si>
    <t>Мурманск</t>
  </si>
  <si>
    <t>Оха</t>
  </si>
  <si>
    <t>Эльтон</t>
  </si>
  <si>
    <t>Ича</t>
  </si>
  <si>
    <t>4,4</t>
  </si>
  <si>
    <t>Ставрополь</t>
  </si>
  <si>
    <t>1,3</t>
  </si>
  <si>
    <t>4,7</t>
  </si>
  <si>
    <t>Бугульма</t>
  </si>
  <si>
    <t>Геническ</t>
  </si>
  <si>
    <t>1,8</t>
  </si>
  <si>
    <t>2,5</t>
  </si>
  <si>
    <t>Большерецк</t>
  </si>
  <si>
    <t>4,6</t>
  </si>
  <si>
    <t>Петропавловск- 
Камчатский</t>
  </si>
  <si>
    <t>Александровск- 
Сахалинский</t>
  </si>
  <si>
    <t>Погиби</t>
  </si>
  <si>
    <t>Холмск</t>
  </si>
  <si>
    <t>Аскания-Нова</t>
  </si>
  <si>
    <t>1,5</t>
  </si>
  <si>
    <t>2,3</t>
  </si>
  <si>
    <t>Родино</t>
  </si>
  <si>
    <t>4,5</t>
  </si>
  <si>
    <t>Липецк</t>
  </si>
  <si>
    <t>Купино</t>
  </si>
  <si>
    <t>Порецкое</t>
  </si>
  <si>
    <t>Усть-Воямполка</t>
  </si>
  <si>
    <t>4,0</t>
  </si>
  <si>
    <t>Посьет</t>
  </si>
  <si>
    <t>Миллерово</t>
  </si>
  <si>
    <t>Ульяновск</t>
  </si>
  <si>
    <t>Белгород</t>
  </si>
  <si>
    <t>4,3</t>
  </si>
  <si>
    <t>Усть-Камчатск</t>
  </si>
  <si>
    <t>Кемь</t>
  </si>
  <si>
    <t>Сургут</t>
  </si>
  <si>
    <t>-55</t>
  </si>
  <si>
    <t>Усть-Хайрюзово</t>
  </si>
  <si>
    <t>4,2</t>
  </si>
  <si>
    <t>Хоседа-Хард</t>
  </si>
  <si>
    <t>Партизанск</t>
  </si>
  <si>
    <t>Ростов-на-Дону</t>
  </si>
  <si>
    <t>Славгород</t>
  </si>
  <si>
    <t>4,1</t>
  </si>
  <si>
    <t>Мезень</t>
  </si>
  <si>
    <t>Хатанга</t>
  </si>
  <si>
    <t>-56</t>
  </si>
  <si>
    <t>-53</t>
  </si>
  <si>
    <t>-59</t>
  </si>
  <si>
    <t>Великий Новгород</t>
  </si>
  <si>
    <t>Карасук</t>
  </si>
  <si>
    <t>Кочки</t>
  </si>
  <si>
    <t>Оренбург</t>
  </si>
  <si>
    <t>Богополь</t>
  </si>
  <si>
    <t>Ноглики</t>
  </si>
  <si>
    <t>Запорожье</t>
  </si>
  <si>
    <t>Кильмезь</t>
  </si>
  <si>
    <t>Ачинск</t>
  </si>
  <si>
    <t>Курган</t>
  </si>
  <si>
    <t>Йошкар-Ола</t>
  </si>
  <si>
    <t>Мончегорск</t>
  </si>
  <si>
    <t>Нарьян-Мар</t>
  </si>
  <si>
    <t>Чулым</t>
  </si>
  <si>
    <t>Орел</t>
  </si>
  <si>
    <t>Гигант</t>
  </si>
  <si>
    <t>Янаул</t>
  </si>
  <si>
    <t>-51</t>
  </si>
  <si>
    <t>Махачкала</t>
  </si>
  <si>
    <t>2,8</t>
  </si>
  <si>
    <t>3,6</t>
  </si>
  <si>
    <t>Усть-Уса</t>
  </si>
  <si>
    <t>Магадан</t>
  </si>
  <si>
    <t>Балашов</t>
  </si>
  <si>
    <t>Петрунь</t>
  </si>
  <si>
    <t>3,8</t>
  </si>
  <si>
    <t>Усть-Цильма</t>
  </si>
  <si>
    <t>Волочанка</t>
  </si>
  <si>
    <t>Умба</t>
  </si>
  <si>
    <t>Барабинск</t>
  </si>
  <si>
    <t>Александров Гай</t>
  </si>
  <si>
    <t>Охотск</t>
  </si>
  <si>
    <t>Уренгой</t>
  </si>
  <si>
    <t>-54</t>
  </si>
  <si>
    <t>Ярославль</t>
  </si>
  <si>
    <t>Емецк</t>
  </si>
  <si>
    <t>3,7</t>
  </si>
  <si>
    <t>Бабушкин</t>
  </si>
  <si>
    <t>Новоаннинский</t>
  </si>
  <si>
    <t>Иваново</t>
  </si>
  <si>
    <t>Кострома</t>
  </si>
  <si>
    <t>Выборг</t>
  </si>
  <si>
    <t>Корсаков</t>
  </si>
  <si>
    <t>Тамбов</t>
  </si>
  <si>
    <t>Глазов</t>
  </si>
  <si>
    <t>Ижевск</t>
  </si>
  <si>
    <t>Березово</t>
  </si>
  <si>
    <t>Надым</t>
  </si>
  <si>
    <t>-58</t>
  </si>
  <si>
    <t>Кирилловка</t>
  </si>
  <si>
    <t>Херсон</t>
  </si>
  <si>
    <t>Волгоград</t>
  </si>
  <si>
    <t>Паданы</t>
  </si>
  <si>
    <t>Тисуль</t>
  </si>
  <si>
    <t>Игарка</t>
  </si>
  <si>
    <t>Феодосия</t>
  </si>
  <si>
    <t>3,5</t>
  </si>
  <si>
    <t>Кашира</t>
  </si>
  <si>
    <t>Арзамас</t>
  </si>
  <si>
    <t>Новосибирск</t>
  </si>
  <si>
    <t>Исиль-Куль</t>
  </si>
  <si>
    <t>Таганрог</t>
  </si>
  <si>
    <t>Вязьма</t>
  </si>
  <si>
    <t>Минеральные Воды</t>
  </si>
  <si>
    <t>Котлас</t>
  </si>
  <si>
    <t>Верхний Баскунчак</t>
  </si>
  <si>
    <t>Сосново-Озерское</t>
  </si>
  <si>
    <t>19</t>
  </si>
  <si>
    <t>Котельниково</t>
  </si>
  <si>
    <t>Калуга</t>
  </si>
  <si>
    <t>Ключи</t>
  </si>
  <si>
    <t>Оссора</t>
  </si>
  <si>
    <t>Ухта</t>
  </si>
  <si>
    <t>Приморско-Ахтарск</t>
  </si>
  <si>
    <t>-4</t>
  </si>
  <si>
    <t>2,4</t>
  </si>
  <si>
    <t>Выкса</t>
  </si>
  <si>
    <t>Саскылах</t>
  </si>
  <si>
    <t>Николаевск-на-Амуре</t>
  </si>
  <si>
    <t>Дебальцево</t>
  </si>
  <si>
    <t>Алейск</t>
  </si>
  <si>
    <t>Барнаул</t>
  </si>
  <si>
    <t>Владимир</t>
  </si>
  <si>
    <t>Муром</t>
  </si>
  <si>
    <t>Олонец</t>
  </si>
  <si>
    <t>Мариинск</t>
  </si>
  <si>
    <t>Нагорское</t>
  </si>
  <si>
    <t>Печора</t>
  </si>
  <si>
    <t>Тихорецк</t>
  </si>
  <si>
    <t>2,0</t>
  </si>
  <si>
    <t>Туруханск</t>
  </si>
  <si>
    <t>Курск</t>
  </si>
  <si>
    <t>Коткино</t>
  </si>
  <si>
    <t>Кыштовка</t>
  </si>
  <si>
    <t>Земетчино</t>
  </si>
  <si>
    <t>Пенза</t>
  </si>
  <si>
    <t>Рудная Пристань</t>
  </si>
  <si>
    <t>Поронайск</t>
  </si>
  <si>
    <t>Бежецк</t>
  </si>
  <si>
    <t>Кондинское</t>
  </si>
  <si>
    <t>Луганск</t>
  </si>
  <si>
    <t>Майкоп</t>
  </si>
  <si>
    <t>34</t>
  </si>
  <si>
    <t>3,2</t>
  </si>
  <si>
    <t>Шенкурск</t>
  </si>
  <si>
    <t>Вологда</t>
  </si>
  <si>
    <t>Ярцево</t>
  </si>
  <si>
    <t>Новая Ладога</t>
  </si>
  <si>
    <t>Чердынь</t>
  </si>
  <si>
    <t>Жиганск</t>
  </si>
  <si>
    <t>Смоленск</t>
  </si>
  <si>
    <t>Старица</t>
  </si>
  <si>
    <t>Александровское</t>
  </si>
  <si>
    <t>Змеиногорск</t>
  </si>
  <si>
    <t>Астрахань</t>
  </si>
  <si>
    <t>Воронеж</t>
  </si>
  <si>
    <t>Петрозаводск</t>
  </si>
  <si>
    <t>Топки</t>
  </si>
  <si>
    <t>Троицкий АО</t>
  </si>
  <si>
    <t>Татарск</t>
  </si>
  <si>
    <t>Сорочинск</t>
  </si>
  <si>
    <t>Астраханка</t>
  </si>
  <si>
    <t>Рязань</t>
  </si>
  <si>
    <t>Каменск-Уральский</t>
  </si>
  <si>
    <t>Туринск</t>
  </si>
  <si>
    <t>Шамары</t>
  </si>
  <si>
    <t>3,1</t>
  </si>
  <si>
    <t>Джаорэ</t>
  </si>
  <si>
    <t>Тогул</t>
  </si>
  <si>
    <t>Архангельск</t>
  </si>
  <si>
    <t>Тотьма</t>
  </si>
  <si>
    <t>Объячево</t>
  </si>
  <si>
    <t>Боготол</t>
  </si>
  <si>
    <t>Канск</t>
  </si>
  <si>
    <t>Можайск</t>
  </si>
  <si>
    <t>Преображение</t>
  </si>
  <si>
    <t>Великие Луки</t>
  </si>
  <si>
    <t>Саратов</t>
  </si>
  <si>
    <t>Кюсюр</t>
  </si>
  <si>
    <t>Мирный</t>
  </si>
  <si>
    <t>Сангар</t>
  </si>
  <si>
    <t>Екатеринбург</t>
  </si>
  <si>
    <t>Арзгир</t>
  </si>
  <si>
    <t>Казань</t>
  </si>
  <si>
    <t>Тобольск</t>
  </si>
  <si>
    <t>Салехард</t>
  </si>
  <si>
    <t>3,0</t>
  </si>
  <si>
    <t>Тарко-Сале</t>
  </si>
  <si>
    <t>Каргополь</t>
  </si>
  <si>
    <t>Кроноки</t>
  </si>
  <si>
    <t>Соболево</t>
  </si>
  <si>
    <t>Тайга</t>
  </si>
  <si>
    <t>Киров</t>
  </si>
  <si>
    <t>Шарья</t>
  </si>
  <si>
    <t>Дмитров</t>
  </si>
  <si>
    <t>Наро-Фоминск</t>
  </si>
  <si>
    <t>Кувандык</t>
  </si>
  <si>
    <t>Джарджан</t>
  </si>
  <si>
    <t>Тверь</t>
  </si>
  <si>
    <t>Тула</t>
  </si>
  <si>
    <t>Сарапул</t>
  </si>
  <si>
    <t>Советская Гавань</t>
  </si>
  <si>
    <t>Троицкое</t>
  </si>
  <si>
    <t>Хабаровск</t>
  </si>
  <si>
    <t>Белорецк</t>
  </si>
  <si>
    <t>2,9</t>
  </si>
  <si>
    <t>Мелеуз</t>
  </si>
  <si>
    <t>Уфа</t>
  </si>
  <si>
    <t>Брянск</t>
  </si>
  <si>
    <t>Вытегра</t>
  </si>
  <si>
    <t>Агинское</t>
  </si>
  <si>
    <t>21</t>
  </si>
  <si>
    <t>Чечуйск</t>
  </si>
  <si>
    <t>Киселевск</t>
  </si>
  <si>
    <t>Усть-Щугор</t>
  </si>
  <si>
    <t>Чухлома</t>
  </si>
  <si>
    <t>Ловозеро</t>
  </si>
  <si>
    <t>Черлак</t>
  </si>
  <si>
    <t>Дальнереченск</t>
  </si>
  <si>
    <t>Псков</t>
  </si>
  <si>
    <t>Самара</t>
  </si>
  <si>
    <t>Онега</t>
  </si>
  <si>
    <t>Дуван</t>
  </si>
  <si>
    <t>Терекли-Мектеб</t>
  </si>
  <si>
    <t>2,2</t>
  </si>
  <si>
    <t>Борзя</t>
  </si>
  <si>
    <t>Кинешма</t>
  </si>
  <si>
    <t>Калининград</t>
  </si>
  <si>
    <t>Кемерово</t>
  </si>
  <si>
    <t>Сыктывкар</t>
  </si>
  <si>
    <t>Тара</t>
  </si>
  <si>
    <t>Бисер</t>
  </si>
  <si>
    <t>Пермь</t>
  </si>
  <si>
    <t>Долинск</t>
  </si>
  <si>
    <t>Макаров</t>
  </si>
  <si>
    <t>Южно-Сахалинск</t>
  </si>
  <si>
    <t>Аян</t>
  </si>
  <si>
    <t>Леуши</t>
  </si>
  <si>
    <t>2,7</t>
  </si>
  <si>
    <t>Болотное</t>
  </si>
  <si>
    <t>Омск</t>
  </si>
  <si>
    <t>Невинномысск</t>
  </si>
  <si>
    <t>Елабуга</t>
  </si>
  <si>
    <t>Колпашево</t>
  </si>
  <si>
    <t>Тюмень</t>
  </si>
  <si>
    <t>Нижнетамбовское</t>
  </si>
  <si>
    <t>Ханты-Мансийск</t>
  </si>
  <si>
    <t>Свободный</t>
  </si>
  <si>
    <t>Усть-Ордынский</t>
  </si>
  <si>
    <t>Сортавала</t>
  </si>
  <si>
    <t>Троицко-Печорское</t>
  </si>
  <si>
    <t>Краснодар</t>
  </si>
  <si>
    <t>31</t>
  </si>
  <si>
    <t>Верхнеимбатск</t>
  </si>
  <si>
    <t>Тихвин</t>
  </si>
  <si>
    <t>Черусти</t>
  </si>
  <si>
    <t>Кандалакша</t>
  </si>
  <si>
    <t>Краснощелье</t>
  </si>
  <si>
    <t>Нижний Новгород</t>
  </si>
  <si>
    <t>Ножовка</t>
  </si>
  <si>
    <t>Ленск</t>
  </si>
  <si>
    <t>Средний Васюган</t>
  </si>
  <si>
    <t>Бабаево</t>
  </si>
  <si>
    <t>Акша</t>
  </si>
  <si>
    <t>16</t>
  </si>
  <si>
    <t>Алыгджер</t>
  </si>
  <si>
    <t>30</t>
  </si>
  <si>
    <t>Калевала</t>
  </si>
  <si>
    <t>Енисейск</t>
  </si>
  <si>
    <t>Красноярск</t>
  </si>
  <si>
    <t>Палатка</t>
  </si>
  <si>
    <t>Новомосковский АО</t>
  </si>
  <si>
    <t>Демьянское</t>
  </si>
  <si>
    <t>Сурское</t>
  </si>
  <si>
    <t>Комсомольск-на- 
Амуре</t>
  </si>
  <si>
    <t>Тайшет</t>
  </si>
  <si>
    <t>Козыревск</t>
  </si>
  <si>
    <t>Реболы</t>
  </si>
  <si>
    <t>Вендинга</t>
  </si>
  <si>
    <t>Санкт-Петербург</t>
  </si>
  <si>
    <t>Оленек</t>
  </si>
  <si>
    <t>Чульман</t>
  </si>
  <si>
    <t>Верхотурье</t>
  </si>
  <si>
    <t>Вяземский</t>
  </si>
  <si>
    <t>Шира</t>
  </si>
  <si>
    <t>Угут</t>
  </si>
  <si>
    <t>Бийск</t>
  </si>
  <si>
    <t>Хоринск</t>
  </si>
  <si>
    <t>13</t>
  </si>
  <si>
    <t>Никольск</t>
  </si>
  <si>
    <t>Мама</t>
  </si>
  <si>
    <t>Витим</t>
  </si>
  <si>
    <t>Нагорный</t>
  </si>
  <si>
    <t>Олекминск</t>
  </si>
  <si>
    <t>Эйк</t>
  </si>
  <si>
    <t>Абакан</t>
  </si>
  <si>
    <t>Верхнеуральск</t>
  </si>
  <si>
    <t>Челябинск</t>
  </si>
  <si>
    <t>Архара</t>
  </si>
  <si>
    <t>Белогорск</t>
  </si>
  <si>
    <t>Сковородино</t>
  </si>
  <si>
    <t>Монды</t>
  </si>
  <si>
    <t>11</t>
  </si>
  <si>
    <t>Екатерино- 
Никольское</t>
  </si>
  <si>
    <t>Братск</t>
  </si>
  <si>
    <t>Сочи</t>
  </si>
  <si>
    <t>Омсукчан</t>
  </si>
  <si>
    <t>Мельничное</t>
  </si>
  <si>
    <t>Нязепетровск</t>
  </si>
  <si>
    <t>Марково</t>
  </si>
  <si>
    <t>Яйлю</t>
  </si>
  <si>
    <t>2,1</t>
  </si>
  <si>
    <t>Благовещенск</t>
  </si>
  <si>
    <t>Братолюбовка</t>
  </si>
  <si>
    <t>Шимановск</t>
  </si>
  <si>
    <t>Койнас</t>
  </si>
  <si>
    <t>Дербент</t>
  </si>
  <si>
    <t>Александровский Завод</t>
  </si>
  <si>
    <t>25</t>
  </si>
  <si>
    <t>Иркутск</t>
  </si>
  <si>
    <t>Преображенка</t>
  </si>
  <si>
    <t>Черкесск</t>
  </si>
  <si>
    <t>Ковдор</t>
  </si>
  <si>
    <t>Анучино</t>
  </si>
  <si>
    <t>Батамай</t>
  </si>
  <si>
    <t>Исить</t>
  </si>
  <si>
    <t>Нюрба</t>
  </si>
  <si>
    <t>Томпо</t>
  </si>
  <si>
    <t>33</t>
  </si>
  <si>
    <t>Томск</t>
  </si>
  <si>
    <t>Усть-Озерное</t>
  </si>
  <si>
    <t>Поярково</t>
  </si>
  <si>
    <t>Тында</t>
  </si>
  <si>
    <t>Чита</t>
  </si>
  <si>
    <t>Начики</t>
  </si>
  <si>
    <t>Ниванкюль</t>
  </si>
  <si>
    <t>Боровичи</t>
  </si>
  <si>
    <t>Джалинда</t>
  </si>
  <si>
    <t>Сунтар</t>
  </si>
  <si>
    <t>Завитинск</t>
  </si>
  <si>
    <t>1,9</t>
  </si>
  <si>
    <t>Черняево</t>
  </si>
  <si>
    <t>Улан-Удэ</t>
  </si>
  <si>
    <t>Богучаны</t>
  </si>
  <si>
    <t>Ялта</t>
  </si>
  <si>
    <t>Маргаритово</t>
  </si>
  <si>
    <t>Алдан</t>
  </si>
  <si>
    <t>Зырянка</t>
  </si>
  <si>
    <t>Туой-Хая</t>
  </si>
  <si>
    <t>Октябрьское</t>
  </si>
  <si>
    <t>Грозный</t>
  </si>
  <si>
    <t>Островное</t>
  </si>
  <si>
    <t>Эньмувеем</t>
  </si>
  <si>
    <t>Уакит</t>
  </si>
  <si>
    <t>Дарасун</t>
  </si>
  <si>
    <t>27</t>
  </si>
  <si>
    <t>Киренск</t>
  </si>
  <si>
    <t>Мильково</t>
  </si>
  <si>
    <t>Москва</t>
  </si>
  <si>
    <t>Кировский</t>
  </si>
  <si>
    <t>Вилюйск</t>
  </si>
  <si>
    <t>Нера</t>
  </si>
  <si>
    <t>Бикин</t>
  </si>
  <si>
    <t>Нижнеангарск</t>
  </si>
  <si>
    <t>Нерчинск</t>
  </si>
  <si>
    <t>24</t>
  </si>
  <si>
    <t>Тупик</t>
  </si>
  <si>
    <t>Перевоз</t>
  </si>
  <si>
    <t>35</t>
  </si>
  <si>
    <t>Тулун</t>
  </si>
  <si>
    <t>Ивдель</t>
  </si>
  <si>
    <t>Баргузин</t>
  </si>
  <si>
    <t>1,6</t>
  </si>
  <si>
    <t>Биробиджан</t>
  </si>
  <si>
    <t>Верхне-Марково</t>
  </si>
  <si>
    <t>Ершово</t>
  </si>
  <si>
    <t>Нальчик</t>
  </si>
  <si>
    <t>Агата</t>
  </si>
  <si>
    <t>Тура</t>
  </si>
  <si>
    <t>Среднекан</t>
  </si>
  <si>
    <t>Сусуман</t>
  </si>
  <si>
    <t>Среднеколымск</t>
  </si>
  <si>
    <t>Им. Полины Осипенко</t>
  </si>
  <si>
    <t>Софийский Прииск</t>
  </si>
  <si>
    <t>Сосьва</t>
  </si>
  <si>
    <t>Кош-Агач</t>
  </si>
  <si>
    <t>15</t>
  </si>
  <si>
    <t>Кяхта</t>
  </si>
  <si>
    <t>Облучье</t>
  </si>
  <si>
    <t>Могоча</t>
  </si>
  <si>
    <t>28</t>
  </si>
  <si>
    <t>Ербогачен</t>
  </si>
  <si>
    <t>Зима</t>
  </si>
  <si>
    <t>Ика</t>
  </si>
  <si>
    <t>Непа</t>
  </si>
  <si>
    <t>Ванавара</t>
  </si>
  <si>
    <t>Вельмо</t>
  </si>
  <si>
    <t>Минусинск</t>
  </si>
  <si>
    <t>Якутск</t>
  </si>
  <si>
    <t>Кисловодск</t>
  </si>
  <si>
    <t>Байкальск</t>
  </si>
  <si>
    <t>Наканно</t>
  </si>
  <si>
    <t>Красная Поляна</t>
  </si>
  <si>
    <t>Чугуевка</t>
  </si>
  <si>
    <t>Амга</t>
  </si>
  <si>
    <t>Сухана</t>
  </si>
  <si>
    <t>Владикавказ</t>
  </si>
  <si>
    <t>Кызыл</t>
  </si>
  <si>
    <t>Ерофей Павлович</t>
  </si>
  <si>
    <t>Экимчан</t>
  </si>
  <si>
    <t>Тунгокочен</t>
  </si>
  <si>
    <t>Чара</t>
  </si>
  <si>
    <t>18</t>
  </si>
  <si>
    <t>Агзу</t>
  </si>
  <si>
    <t>Иэма</t>
  </si>
  <si>
    <t>Усть-Мая</t>
  </si>
  <si>
    <t>Чурапча</t>
  </si>
  <si>
    <t>Омолон</t>
  </si>
  <si>
    <t>Усть-Олой</t>
  </si>
  <si>
    <t>Бомнак</t>
  </si>
  <si>
    <t>Багдарин</t>
  </si>
  <si>
    <t>Красный Чикой</t>
  </si>
  <si>
    <t>Магас</t>
  </si>
  <si>
    <t>Бодайбо</t>
  </si>
  <si>
    <t>Байкит</t>
  </si>
  <si>
    <t>Красный Яр</t>
  </si>
  <si>
    <t>Нерчинский Завод</t>
  </si>
  <si>
    <t>Жигалово</t>
  </si>
  <si>
    <t>Орлинга</t>
  </si>
  <si>
    <t>Верхоянск</t>
  </si>
  <si>
    <t>Бысса</t>
  </si>
  <si>
    <t>Норск</t>
  </si>
  <si>
    <t>Бердигястях</t>
  </si>
  <si>
    <t>Охотский Перевоз</t>
  </si>
  <si>
    <t>Шелагонцы</t>
  </si>
  <si>
    <t>Верхняя Гутара</t>
  </si>
  <si>
    <t>Кондома</t>
  </si>
  <si>
    <t>Оймякон</t>
  </si>
  <si>
    <t>Томмот</t>
  </si>
  <si>
    <t>Усть-Миль</t>
  </si>
  <si>
    <t>Усть-Мома</t>
  </si>
  <si>
    <t>Гвасюги</t>
  </si>
  <si>
    <t>Усть-Кабырза</t>
  </si>
  <si>
    <t>Джикимда</t>
  </si>
  <si>
    <t>Крест-Хальджай</t>
  </si>
  <si>
    <t>Катанда</t>
  </si>
  <si>
    <t>Калакан</t>
  </si>
  <si>
    <t>Буяга</t>
  </si>
  <si>
    <t>Усть-Нюкжа</t>
  </si>
  <si>
    <t>Средний Калар</t>
  </si>
  <si>
    <t>Токо</t>
  </si>
  <si>
    <t>Онгудай</t>
  </si>
  <si>
    <t>Тяня</t>
  </si>
  <si>
    <t>Зея</t>
  </si>
  <si>
    <t>Ай-Петри</t>
  </si>
  <si>
    <t>Клепинино</t>
  </si>
  <si>
    <t>Севастополь</t>
  </si>
  <si>
    <t>17</t>
  </si>
  <si>
    <t>23</t>
  </si>
  <si>
    <t>29</t>
  </si>
  <si>
    <t>22</t>
  </si>
  <si>
    <t>20</t>
  </si>
  <si>
    <t>14</t>
  </si>
  <si>
    <t>26</t>
  </si>
  <si>
    <t>5</t>
  </si>
  <si>
    <t>Скорость ветра Vв для расчета ДУ, м/с</t>
  </si>
  <si>
    <t>Скорость ветра Vв для расчета ПДВ, м/с</t>
  </si>
  <si>
    <t>Высота этажа, м</t>
  </si>
  <si>
    <t>Дверной проем в ЛК, высота H, м</t>
  </si>
  <si>
    <t>Дверной проем в ЛК, длина l, м</t>
  </si>
  <si>
    <t>Расположение выбросного отверстия ДУ hвыбр, м</t>
  </si>
  <si>
    <t>Расположение воздухозаборного отверстия ПДУ hзабор, м</t>
  </si>
  <si>
    <t>административное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</si>
</sst>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7" x14ac:knownFonts="1">
    <font>
      <sz val="11"/>
      <color theme="1"/>
      <name val="Calibri"/>
      <scheme val="minor"/>
    </font>
    <font>
      <sz val="11"/>
      <color theme="1"/>
      <name val="Calibri"/>
      <family val="2"/>
      <charset val="204"/>
      <scheme val="minor"/>
    </font>
    <font>
      <b/>
      <sz val="9"/>
      <color theme="1"/>
      <name val="Roboto Mono Medium"/>
      <family val="3"/>
      <charset val="204"/>
    </font>
    <font>
      <sz val="11"/>
      <name val="Roboto Mono Medium"/>
      <family val="3"/>
      <charset val="204"/>
    </font>
    <font>
      <sz val="9"/>
      <color theme="1"/>
      <name val="Roboto Mono Medium"/>
      <family val="3"/>
      <charset val="204"/>
    </font>
    <font>
      <sz val="11"/>
      <color theme="1"/>
      <name val="Roboto Mono Medium"/>
      <family val="3"/>
      <charset val="204"/>
    </font>
    <font>
      <sz val="10"/>
      <color theme="1"/>
      <name val="Roboto Mono Medium"/>
      <family val="3"/>
      <charset val="204"/>
    </font>
  </fonts>
  <fills count="12">
    <fill>
      <patternFill patternType="none"/>
    </fill>
    <fill>
      <patternFill patternType="gray125"/>
    </fill>
    <fill>
      <patternFill patternType="solid">
        <fgColor rgb="FFDBE5F1"/>
        <bgColor rgb="FFDBE5F1"/>
      </patternFill>
    </fill>
    <fill>
      <patternFill patternType="solid">
        <fgColor rgb="FF8DB3E2"/>
        <bgColor rgb="FF8DB3E2"/>
      </patternFill>
    </fill>
    <fill>
      <patternFill patternType="solid">
        <fgColor rgb="FFF2F2F2"/>
        <bgColor rgb="FFF2F2F2"/>
      </patternFill>
    </fill>
    <fill>
      <patternFill patternType="solid">
        <fgColor rgb="FFEFEFEF"/>
        <bgColor rgb="FFEFEFEF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rgb="FFDBE5F1"/>
      </patternFill>
    </fill>
    <fill>
      <patternFill patternType="solid">
        <fgColor theme="0" tint="-4.9989318521683403E-2"/>
        <bgColor rgb="FFDBE5F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 applyFont="1" applyAlignment="1"/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/>
    <xf numFmtId="0" fontId="5" fillId="0" borderId="0" xfId="0" applyFont="1" applyAlignment="1"/>
    <xf numFmtId="0" fontId="5" fillId="0" borderId="0" xfId="0" applyFont="1"/>
    <xf numFmtId="0" fontId="4" fillId="0" borderId="4" xfId="0" applyFont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center" vertical="center" wrapText="1"/>
    </xf>
    <xf numFmtId="2" fontId="4" fillId="7" borderId="4" xfId="0" applyNumberFormat="1" applyFont="1" applyFill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 wrapText="1"/>
    </xf>
    <xf numFmtId="164" fontId="4" fillId="0" borderId="4" xfId="0" applyNumberFormat="1" applyFont="1" applyBorder="1" applyAlignment="1">
      <alignment horizontal="center" vertical="center" wrapText="1"/>
    </xf>
    <xf numFmtId="2" fontId="4" fillId="2" borderId="4" xfId="0" applyNumberFormat="1" applyFont="1" applyFill="1" applyBorder="1" applyAlignment="1">
      <alignment horizontal="center" vertical="center" wrapText="1"/>
    </xf>
    <xf numFmtId="2" fontId="4" fillId="0" borderId="4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4" fillId="9" borderId="4" xfId="0" applyFont="1" applyFill="1" applyBorder="1" applyAlignment="1">
      <alignment horizontal="center" vertical="center" wrapText="1"/>
    </xf>
    <xf numFmtId="2" fontId="4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" fontId="4" fillId="0" borderId="4" xfId="0" applyNumberFormat="1" applyFont="1" applyBorder="1" applyAlignment="1">
      <alignment horizontal="left" vertical="center" wrapText="1"/>
    </xf>
    <xf numFmtId="0" fontId="4" fillId="0" borderId="4" xfId="0" applyFont="1" applyBorder="1" applyAlignment="1">
      <alignment horizontal="right" vertical="center" wrapText="1"/>
    </xf>
    <xf numFmtId="2" fontId="4" fillId="0" borderId="4" xfId="0" applyNumberFormat="1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4" fillId="6" borderId="4" xfId="0" applyFont="1" applyFill="1" applyBorder="1" applyAlignment="1">
      <alignment horizontal="right" vertical="center" wrapText="1"/>
    </xf>
    <xf numFmtId="2" fontId="4" fillId="6" borderId="4" xfId="0" applyNumberFormat="1" applyFont="1" applyFill="1" applyBorder="1" applyAlignment="1">
      <alignment vertical="center" wrapText="1"/>
    </xf>
    <xf numFmtId="0" fontId="4" fillId="6" borderId="4" xfId="0" applyFont="1" applyFill="1" applyBorder="1" applyAlignment="1">
      <alignment vertical="center" wrapText="1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/>
    <xf numFmtId="0" fontId="5" fillId="6" borderId="0" xfId="0" applyFont="1" applyFill="1"/>
    <xf numFmtId="0" fontId="5" fillId="6" borderId="0" xfId="0" applyFont="1" applyFill="1" applyAlignment="1"/>
    <xf numFmtId="0" fontId="4" fillId="3" borderId="4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2" fontId="4" fillId="4" borderId="4" xfId="0" applyNumberFormat="1" applyFont="1" applyFill="1" applyBorder="1" applyAlignment="1">
      <alignment horizontal="center" vertical="center" wrapText="1"/>
    </xf>
    <xf numFmtId="1" fontId="4" fillId="4" borderId="4" xfId="0" applyNumberFormat="1" applyFont="1" applyFill="1" applyBorder="1" applyAlignment="1">
      <alignment horizontal="center" vertical="center" wrapText="1"/>
    </xf>
    <xf numFmtId="2" fontId="4" fillId="5" borderId="4" xfId="0" applyNumberFormat="1" applyFont="1" applyFill="1" applyBorder="1" applyAlignment="1">
      <alignment horizontal="center" vertical="center" wrapText="1"/>
    </xf>
    <xf numFmtId="1" fontId="4" fillId="5" borderId="4" xfId="0" applyNumberFormat="1" applyFont="1" applyFill="1" applyBorder="1" applyAlignment="1">
      <alignment horizontal="center" vertical="center" wrapText="1"/>
    </xf>
    <xf numFmtId="2" fontId="4" fillId="8" borderId="4" xfId="0" applyNumberFormat="1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4" fillId="8" borderId="4" xfId="0" applyFont="1" applyFill="1" applyBorder="1" applyAlignment="1">
      <alignment horizontal="center" vertical="center" wrapText="1"/>
    </xf>
    <xf numFmtId="165" fontId="4" fillId="4" borderId="4" xfId="0" applyNumberFormat="1" applyFont="1" applyFill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6" fillId="0" borderId="0" xfId="0" applyFont="1" applyAlignment="1">
      <alignment vertical="top" wrapText="1"/>
    </xf>
    <xf numFmtId="0" fontId="6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2" fontId="4" fillId="0" borderId="12" xfId="0" applyNumberFormat="1" applyFont="1" applyBorder="1" applyAlignment="1">
      <alignment vertical="center" wrapText="1"/>
    </xf>
    <xf numFmtId="0" fontId="4" fillId="4" borderId="3" xfId="0" applyFont="1" applyFill="1" applyBorder="1" applyAlignment="1">
      <alignment horizontal="center" vertical="center" wrapText="1"/>
    </xf>
    <xf numFmtId="2" fontId="4" fillId="0" borderId="14" xfId="0" applyNumberFormat="1" applyFont="1" applyFill="1" applyBorder="1" applyAlignment="1">
      <alignment vertical="center"/>
    </xf>
    <xf numFmtId="0" fontId="3" fillId="0" borderId="14" xfId="0" applyFont="1" applyFill="1" applyBorder="1" applyAlignment="1"/>
    <xf numFmtId="0" fontId="3" fillId="0" borderId="15" xfId="0" applyFont="1" applyFill="1" applyBorder="1" applyAlignment="1"/>
    <xf numFmtId="0" fontId="4" fillId="0" borderId="5" xfId="0" applyFont="1" applyFill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2" fontId="4" fillId="6" borderId="12" xfId="0" applyNumberFormat="1" applyFont="1" applyFill="1" applyBorder="1" applyAlignment="1">
      <alignment vertical="center" wrapText="1"/>
    </xf>
    <xf numFmtId="0" fontId="4" fillId="10" borderId="9" xfId="0" applyFont="1" applyFill="1" applyBorder="1" applyAlignment="1">
      <alignment horizontal="center" vertical="center"/>
    </xf>
    <xf numFmtId="1" fontId="4" fillId="11" borderId="4" xfId="0" applyNumberFormat="1" applyFont="1" applyFill="1" applyBorder="1" applyAlignment="1">
      <alignment horizontal="left" vertical="center" wrapText="1"/>
    </xf>
    <xf numFmtId="0" fontId="4" fillId="11" borderId="4" xfId="0" applyFont="1" applyFill="1" applyBorder="1" applyAlignment="1">
      <alignment horizontal="left" vertical="center" wrapText="1"/>
    </xf>
    <xf numFmtId="0" fontId="2" fillId="0" borderId="18" xfId="0" applyFont="1" applyBorder="1" applyAlignment="1">
      <alignment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3" fillId="0" borderId="3" xfId="0" applyFont="1" applyBorder="1"/>
    <xf numFmtId="0" fontId="4" fillId="0" borderId="6" xfId="0" applyFont="1" applyBorder="1" applyAlignment="1">
      <alignment vertical="center" wrapText="1"/>
    </xf>
    <xf numFmtId="0" fontId="3" fillId="0" borderId="7" xfId="0" applyFont="1" applyBorder="1"/>
    <xf numFmtId="0" fontId="3" fillId="0" borderId="1" xfId="0" applyFont="1" applyBorder="1"/>
    <xf numFmtId="0" fontId="3" fillId="0" borderId="8" xfId="0" applyFont="1" applyBorder="1"/>
    <xf numFmtId="0" fontId="2" fillId="0" borderId="2" xfId="0" applyFont="1" applyBorder="1" applyAlignment="1">
      <alignment horizontal="center" vertical="center" wrapText="1"/>
    </xf>
    <xf numFmtId="0" fontId="3" fillId="0" borderId="5" xfId="0" applyFont="1" applyBorder="1"/>
    <xf numFmtId="0" fontId="3" fillId="0" borderId="16" xfId="0" applyFont="1" applyBorder="1"/>
    <xf numFmtId="0" fontId="4" fillId="0" borderId="2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2" fontId="4" fillId="3" borderId="2" xfId="0" applyNumberFormat="1" applyFont="1" applyFill="1" applyBorder="1" applyAlignment="1">
      <alignment horizontal="center" vertical="center" wrapText="1"/>
    </xf>
    <xf numFmtId="0" fontId="3" fillId="0" borderId="9" xfId="0" applyFont="1" applyBorder="1"/>
    <xf numFmtId="0" fontId="4" fillId="0" borderId="2" xfId="0" applyFont="1" applyBorder="1" applyAlignment="1">
      <alignment horizontal="left" vertical="center" wrapText="1"/>
    </xf>
  </cellXfs>
  <cellStyles count="1">
    <cellStyle name="Обычный" xfId="0" builtinId="0"/>
  </cellStyles>
  <dxfs count="27">
    <dxf>
      <font>
        <strike val="0"/>
        <outline val="0"/>
        <shadow val="0"/>
        <u val="none"/>
        <vertAlign val="baseline"/>
        <name val="Roboto Mono Medium"/>
        <scheme val="none"/>
      </font>
    </dxf>
    <dxf>
      <font>
        <strike val="0"/>
        <outline val="0"/>
        <shadow val="0"/>
        <u val="none"/>
        <vertAlign val="baseline"/>
        <name val="Roboto Mono Medium"/>
        <scheme val="none"/>
      </font>
    </dxf>
    <dxf>
      <font>
        <strike val="0"/>
        <outline val="0"/>
        <shadow val="0"/>
        <u val="none"/>
        <vertAlign val="baseline"/>
        <name val="Roboto Mono Medium"/>
        <scheme val="none"/>
      </font>
    </dxf>
    <dxf>
      <font>
        <strike val="0"/>
        <outline val="0"/>
        <shadow val="0"/>
        <u val="none"/>
        <vertAlign val="baseline"/>
        <name val="Roboto Mono Medium"/>
        <scheme val="none"/>
      </font>
    </dxf>
    <dxf>
      <font>
        <strike val="0"/>
        <outline val="0"/>
        <shadow val="0"/>
        <u val="none"/>
        <vertAlign val="baseline"/>
        <name val="Roboto Mono Medium"/>
        <scheme val="none"/>
      </font>
    </dxf>
    <dxf>
      <font>
        <strike val="0"/>
        <outline val="0"/>
        <shadow val="0"/>
        <u val="none"/>
        <vertAlign val="baseline"/>
        <name val="Roboto Mono Medium"/>
        <scheme val="none"/>
      </font>
    </dxf>
    <dxf>
      <font>
        <strike val="0"/>
        <outline val="0"/>
        <shadow val="0"/>
        <u val="none"/>
        <vertAlign val="baseline"/>
        <name val="Roboto Mono Medium"/>
        <scheme val="none"/>
      </font>
    </dxf>
    <dxf>
      <font>
        <strike val="0"/>
        <outline val="0"/>
        <shadow val="0"/>
        <u val="none"/>
        <vertAlign val="baseline"/>
        <name val="Roboto Mono Medium"/>
        <scheme val="none"/>
      </font>
    </dxf>
    <dxf>
      <font>
        <strike val="0"/>
        <outline val="0"/>
        <shadow val="0"/>
        <u val="none"/>
        <vertAlign val="baseline"/>
        <name val="Roboto Mono Medium"/>
        <scheme val="none"/>
      </font>
    </dxf>
    <dxf>
      <font>
        <strike val="0"/>
        <outline val="0"/>
        <shadow val="0"/>
        <u val="none"/>
        <vertAlign val="baseline"/>
        <name val="Roboto Mono Medium"/>
        <scheme val="none"/>
      </font>
    </dxf>
    <dxf>
      <font>
        <strike val="0"/>
        <outline val="0"/>
        <shadow val="0"/>
        <u val="none"/>
        <vertAlign val="baseline"/>
        <name val="Roboto Mono Medium"/>
        <scheme val="none"/>
      </font>
    </dxf>
    <dxf>
      <font>
        <strike val="0"/>
        <outline val="0"/>
        <shadow val="0"/>
        <u val="none"/>
        <vertAlign val="baseline"/>
        <name val="Roboto Mono Medium"/>
        <scheme val="none"/>
      </font>
    </dxf>
    <dxf>
      <font>
        <strike val="0"/>
        <outline val="0"/>
        <shadow val="0"/>
        <u val="none"/>
        <vertAlign val="baseline"/>
        <name val="Roboto Mono Medium"/>
        <scheme val="none"/>
      </font>
    </dxf>
    <dxf>
      <font>
        <strike val="0"/>
        <outline val="0"/>
        <shadow val="0"/>
        <u val="none"/>
        <vertAlign val="baseline"/>
        <name val="Roboto Mono Medium"/>
        <scheme val="none"/>
      </font>
    </dxf>
    <dxf>
      <font>
        <strike val="0"/>
        <outline val="0"/>
        <shadow val="0"/>
        <u val="none"/>
        <vertAlign val="baseline"/>
        <name val="Roboto Mono Medium"/>
        <scheme val="none"/>
      </font>
    </dxf>
    <dxf>
      <font>
        <strike val="0"/>
        <outline val="0"/>
        <shadow val="0"/>
        <u val="none"/>
        <vertAlign val="baseline"/>
        <name val="Roboto Mono Medium"/>
        <scheme val="none"/>
      </font>
    </dxf>
    <dxf>
      <font>
        <strike val="0"/>
        <outline val="0"/>
        <shadow val="0"/>
        <u val="none"/>
        <vertAlign val="baseline"/>
        <name val="Roboto Mono Medium"/>
        <scheme val="none"/>
      </font>
    </dxf>
    <dxf>
      <font>
        <strike val="0"/>
        <outline val="0"/>
        <shadow val="0"/>
        <u val="none"/>
        <vertAlign val="baseline"/>
        <name val="Roboto Mono Medium"/>
        <scheme val="none"/>
      </font>
    </dxf>
    <dxf>
      <font>
        <strike val="0"/>
        <outline val="0"/>
        <shadow val="0"/>
        <u val="none"/>
        <vertAlign val="baseline"/>
        <name val="Roboto Mono Medium"/>
        <scheme val="none"/>
      </font>
    </dxf>
    <dxf>
      <font>
        <strike val="0"/>
        <outline val="0"/>
        <shadow val="0"/>
        <u val="none"/>
        <vertAlign val="baseline"/>
        <name val="Roboto Mono Medium"/>
        <scheme val="none"/>
      </font>
    </dxf>
    <dxf>
      <font>
        <strike val="0"/>
        <outline val="0"/>
        <shadow val="0"/>
        <u val="none"/>
        <vertAlign val="baseline"/>
        <name val="Roboto Mono Medium"/>
        <scheme val="none"/>
      </font>
    </dxf>
    <dxf>
      <font>
        <strike val="0"/>
        <outline val="0"/>
        <shadow val="0"/>
        <u val="none"/>
        <vertAlign val="baseline"/>
        <name val="Roboto Mono Medium"/>
        <scheme val="none"/>
      </font>
    </dxf>
    <dxf>
      <font>
        <strike val="0"/>
        <outline val="0"/>
        <shadow val="0"/>
        <u val="none"/>
        <vertAlign val="baseline"/>
        <name val="Roboto Mono Medium"/>
        <scheme val="none"/>
      </font>
    </dxf>
    <dxf>
      <font>
        <strike val="0"/>
        <outline val="0"/>
        <shadow val="0"/>
        <u val="none"/>
        <vertAlign val="baseline"/>
        <name val="Roboto Mono Medium"/>
        <scheme val="none"/>
      </font>
    </dxf>
    <dxf>
      <fill>
        <patternFill patternType="solid">
          <fgColor rgb="FFF8F9FA"/>
          <bgColor rgb="FFF8F9FA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</dxfs>
  <tableStyles count="1">
    <tableStyle name="Из коридоров-style" pivot="0" count="3">
      <tableStyleElement type="headerRow" dxfId="26"/>
      <tableStyleElement type="firstRowStripe" dxfId="25"/>
      <tableStyleElement type="secondRowStripe" dxfId="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7</xdr:row>
          <xdr:rowOff>0</xdr:rowOff>
        </xdr:from>
        <xdr:to>
          <xdr:col>3</xdr:col>
          <xdr:colOff>533400</xdr:colOff>
          <xdr:row>10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11</xdr:row>
          <xdr:rowOff>0</xdr:rowOff>
        </xdr:from>
        <xdr:to>
          <xdr:col>3</xdr:col>
          <xdr:colOff>628650</xdr:colOff>
          <xdr:row>12</xdr:row>
          <xdr:rowOff>9525</xdr:rowOff>
        </xdr:to>
        <xdr:sp macro="" textlink="">
          <xdr:nvSpPr>
            <xdr:cNvPr id="1066" name="CommandButton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1" displayName="Таблица1" ref="A19:U21" headerRowDxfId="23" dataDxfId="22" totalsRowDxfId="21">
  <tableColumns count="21">
    <tableColumn id="1" name="№ Этажа" dataDxfId="20"/>
    <tableColumn id="2" name="Pннi, Па" dataDxfId="19"/>
    <tableColumn id="3" name="Pнзi, Па" dataDxfId="18"/>
    <tableColumn id="4" name="Pвi, Па" dataDxfId="17"/>
    <tableColumn id="5" name="Pшi, Па" dataDxfId="16"/>
    <tableColumn id="6" name="Высота до ур пола этажа от ур земли h, м" dataDxfId="15"/>
    <tableColumn id="7" name="Массовый расход продуктов горения в шахте Gш, кг/с" dataDxfId="14"/>
    <tableColumn id="8" name="Температура продуктов горения в шахте Tш, К" dataDxfId="13"/>
    <tableColumn id="9" name="Плотность воздуха ρш, кг/м³ " dataDxfId="12"/>
    <tableColumn id="10" name="Скорость продуктов горения в шахте Vш, м/с" dataDxfId="11"/>
    <tableColumn id="11" name="Подсосы ч/з клапаны, кг/с" dataDxfId="10"/>
    <tableColumn id="12" name="Pпннi, Па" dataDxfId="9"/>
    <tableColumn id="13" name="Pпнзi, Па" dataDxfId="8"/>
    <tableColumn id="14" name="Pпвi, Па" dataDxfId="7"/>
    <tableColumn id="15" name="Pпшi, Па" dataDxfId="6"/>
    <tableColumn id="16" name="Высота до ур пола этажа от ур земли hп, м" dataDxfId="5"/>
    <tableColumn id="17" name="Массовый расход продуктов горения в шахте Gпш, кг/с" dataDxfId="4"/>
    <tableColumn id="18" name="Температура в-ха в шахте Tпш, К" dataDxfId="3"/>
    <tableColumn id="19" name="Плотность воздуха ρпш, кг/м³ " dataDxfId="2"/>
    <tableColumn id="20" name="Скорость продуктов горения в шахте Vпш, м/с" dataDxfId="1"/>
    <tableColumn id="21" name="Подсосы п ч/з клапаны, кг/с" dataDxfId="0"/>
  </tableColumns>
  <tableStyleInfo name="Из коридоров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A971"/>
  <sheetViews>
    <sheetView tabSelected="1" workbookViewId="0">
      <selection activeCell="I12" sqref="I12"/>
    </sheetView>
  </sheetViews>
  <sheetFormatPr defaultColWidth="14.42578125" defaultRowHeight="15" customHeight="1" x14ac:dyDescent="0.3"/>
  <cols>
    <col min="1" max="1" width="33" style="4" customWidth="1"/>
    <col min="2" max="22" width="15.7109375" style="4" customWidth="1"/>
    <col min="23" max="23" width="14.42578125" style="4" customWidth="1"/>
    <col min="24" max="26" width="8.7109375" style="4" customWidth="1"/>
    <col min="27" max="16384" width="14.42578125" style="4"/>
  </cols>
  <sheetData>
    <row r="1" spans="1:27" ht="30" customHeight="1" x14ac:dyDescent="0.3">
      <c r="A1" s="68" t="s">
        <v>0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4"/>
      <c r="T1" s="64"/>
      <c r="U1" s="64"/>
      <c r="V1" s="2"/>
      <c r="W1" s="2"/>
      <c r="X1" s="2"/>
      <c r="Y1" s="2"/>
      <c r="Z1" s="2"/>
      <c r="AA1" s="3"/>
    </row>
    <row r="2" spans="1:27" ht="27" customHeight="1" x14ac:dyDescent="0.3">
      <c r="A2" s="80" t="s">
        <v>84</v>
      </c>
      <c r="B2" s="67" t="s">
        <v>1</v>
      </c>
      <c r="C2" s="65" t="s">
        <v>2</v>
      </c>
      <c r="D2" s="65" t="s">
        <v>689</v>
      </c>
      <c r="E2" s="65" t="s">
        <v>5</v>
      </c>
      <c r="F2" s="65" t="s">
        <v>692</v>
      </c>
      <c r="G2" s="65" t="s">
        <v>693</v>
      </c>
      <c r="H2" s="65" t="s">
        <v>6</v>
      </c>
      <c r="I2" s="67" t="s">
        <v>690</v>
      </c>
      <c r="J2" s="67" t="s">
        <v>691</v>
      </c>
      <c r="K2" s="65" t="s">
        <v>7</v>
      </c>
      <c r="L2" s="65" t="s">
        <v>8</v>
      </c>
      <c r="M2" s="65" t="s">
        <v>9</v>
      </c>
      <c r="N2" s="65" t="s">
        <v>10</v>
      </c>
      <c r="O2" s="65" t="s">
        <v>11</v>
      </c>
      <c r="P2" s="65" t="s">
        <v>12</v>
      </c>
      <c r="Q2" s="65" t="s">
        <v>13</v>
      </c>
      <c r="R2" s="65" t="s">
        <v>14</v>
      </c>
      <c r="V2" s="2"/>
      <c r="W2" s="2"/>
      <c r="X2" s="2"/>
      <c r="Y2" s="2"/>
      <c r="Z2" s="3"/>
      <c r="AA2" s="5"/>
    </row>
    <row r="3" spans="1:27" ht="75.75" customHeight="1" x14ac:dyDescent="0.3">
      <c r="A3" s="80"/>
      <c r="B3" s="82"/>
      <c r="C3" s="66"/>
      <c r="D3" s="66"/>
      <c r="E3" s="66"/>
      <c r="F3" s="66"/>
      <c r="G3" s="66"/>
      <c r="H3" s="66"/>
      <c r="I3" s="67"/>
      <c r="J3" s="67"/>
      <c r="K3" s="66"/>
      <c r="L3" s="66"/>
      <c r="M3" s="66"/>
      <c r="N3" s="66"/>
      <c r="O3" s="66"/>
      <c r="P3" s="66"/>
      <c r="Q3" s="66"/>
      <c r="R3" s="66"/>
      <c r="V3" s="2"/>
      <c r="W3" s="2"/>
      <c r="X3" s="2"/>
      <c r="Y3" s="2"/>
      <c r="Z3" s="3"/>
      <c r="AA3" s="5"/>
    </row>
    <row r="4" spans="1:27" ht="15" customHeight="1" x14ac:dyDescent="0.3">
      <c r="A4" s="43">
        <v>1</v>
      </c>
      <c r="B4" s="43">
        <v>2</v>
      </c>
      <c r="C4" s="43">
        <v>3</v>
      </c>
      <c r="D4" s="43">
        <v>4</v>
      </c>
      <c r="E4" s="43">
        <v>5</v>
      </c>
      <c r="F4" s="43">
        <v>6</v>
      </c>
      <c r="G4" s="43">
        <v>7</v>
      </c>
      <c r="H4" s="43">
        <v>8</v>
      </c>
      <c r="I4" s="43">
        <v>9</v>
      </c>
      <c r="J4" s="43">
        <v>10</v>
      </c>
      <c r="K4" s="43">
        <v>11</v>
      </c>
      <c r="L4" s="43">
        <v>12</v>
      </c>
      <c r="M4" s="43">
        <v>13</v>
      </c>
      <c r="N4" s="43">
        <v>14</v>
      </c>
      <c r="O4" s="43">
        <v>15</v>
      </c>
      <c r="P4" s="43">
        <v>16</v>
      </c>
      <c r="Q4" s="43">
        <v>17</v>
      </c>
      <c r="R4" s="43">
        <v>18</v>
      </c>
      <c r="V4" s="2"/>
      <c r="W4" s="2"/>
      <c r="X4" s="2"/>
      <c r="Y4" s="2"/>
      <c r="Z4" s="3"/>
      <c r="AA4" s="5"/>
    </row>
    <row r="5" spans="1:27" ht="30" customHeight="1" x14ac:dyDescent="0.3">
      <c r="A5" s="61" t="s">
        <v>403</v>
      </c>
      <c r="B5" s="41">
        <v>3</v>
      </c>
      <c r="C5" s="42">
        <v>1</v>
      </c>
      <c r="D5" s="41">
        <v>3</v>
      </c>
      <c r="E5" s="41">
        <v>16</v>
      </c>
      <c r="F5" s="41">
        <v>50</v>
      </c>
      <c r="G5" s="41">
        <v>3</v>
      </c>
      <c r="H5" s="41">
        <v>2.7</v>
      </c>
      <c r="I5" s="41">
        <v>2.1</v>
      </c>
      <c r="J5" s="41">
        <v>0.9</v>
      </c>
      <c r="K5" s="41">
        <v>20</v>
      </c>
      <c r="L5" s="41">
        <v>25</v>
      </c>
      <c r="M5" s="41">
        <v>25</v>
      </c>
      <c r="N5" s="41">
        <v>7</v>
      </c>
      <c r="O5" s="41">
        <v>0.5</v>
      </c>
      <c r="P5" s="41" t="s">
        <v>15</v>
      </c>
      <c r="Q5" s="41" t="s">
        <v>694</v>
      </c>
      <c r="R5" s="41" t="s">
        <v>16</v>
      </c>
      <c r="V5" s="2"/>
      <c r="W5" s="2"/>
      <c r="X5" s="2"/>
      <c r="Y5" s="2"/>
      <c r="Z5" s="3"/>
      <c r="AA5" s="5"/>
    </row>
    <row r="6" spans="1:27" ht="16.5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3"/>
      <c r="AA6" s="5"/>
    </row>
    <row r="7" spans="1:27" ht="49.5" customHeight="1" x14ac:dyDescent="0.3">
      <c r="A7" s="76" t="s">
        <v>17</v>
      </c>
      <c r="B7" s="71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3"/>
      <c r="AA7" s="5"/>
    </row>
    <row r="8" spans="1:27" ht="49.5" customHeight="1" x14ac:dyDescent="0.3">
      <c r="A8" s="8" t="s">
        <v>85</v>
      </c>
      <c r="B8" s="9">
        <f>IF(R5="ПРВ",(273+$E$5)+940*EXP(0.0047*$M$5-0.141),(273+$E$5)+224*N5^0.528)</f>
        <v>1207.1675361887133</v>
      </c>
      <c r="C8" s="2"/>
      <c r="E8" s="65" t="s">
        <v>3</v>
      </c>
      <c r="F8" s="65" t="s">
        <v>4</v>
      </c>
      <c r="G8" s="65" t="s">
        <v>687</v>
      </c>
      <c r="H8" s="65" t="s">
        <v>688</v>
      </c>
      <c r="J8" s="6" t="s">
        <v>18</v>
      </c>
      <c r="K8" s="6" t="s">
        <v>19</v>
      </c>
      <c r="L8" s="6" t="s">
        <v>20</v>
      </c>
      <c r="M8" s="6" t="s">
        <v>21</v>
      </c>
      <c r="N8" s="6" t="s">
        <v>22</v>
      </c>
      <c r="O8" s="6" t="s">
        <v>23</v>
      </c>
      <c r="P8" s="6" t="s">
        <v>24</v>
      </c>
      <c r="Q8" s="6" t="s">
        <v>25</v>
      </c>
      <c r="R8" s="6" t="s">
        <v>26</v>
      </c>
      <c r="S8" s="2"/>
      <c r="T8" s="2"/>
      <c r="U8" s="2"/>
      <c r="V8" s="2"/>
      <c r="W8" s="2"/>
      <c r="X8" s="2"/>
      <c r="Y8" s="2"/>
      <c r="Z8" s="3"/>
      <c r="AA8" s="5"/>
    </row>
    <row r="9" spans="1:27" ht="47.25" customHeight="1" x14ac:dyDescent="0.3">
      <c r="A9" s="8" t="s">
        <v>86</v>
      </c>
      <c r="B9" s="9">
        <f>0.8*B8</f>
        <v>965.7340289509707</v>
      </c>
      <c r="C9" s="2"/>
      <c r="E9" s="66"/>
      <c r="F9" s="66"/>
      <c r="G9" s="66"/>
      <c r="H9" s="66"/>
      <c r="J9" s="8" t="s">
        <v>27</v>
      </c>
      <c r="K9" s="7" t="s">
        <v>28</v>
      </c>
      <c r="L9" s="6">
        <v>12000</v>
      </c>
      <c r="M9" s="6">
        <f t="shared" ref="M9:M10" si="0">IF(K9="Кирпич", 0.1, IF(K9="Бетон",0.05, 0.02))</f>
        <v>0.02</v>
      </c>
      <c r="N9" s="10">
        <f>F29+0.05</f>
        <v>1.1000000000000003</v>
      </c>
      <c r="O9" s="10">
        <v>0.44999999999999996</v>
      </c>
      <c r="P9" s="11">
        <f>2*N9*O9/(N9+O9)</f>
        <v>0.63870967741935492</v>
      </c>
      <c r="Q9" s="11">
        <f>N9*O9</f>
        <v>0.49500000000000011</v>
      </c>
      <c r="R9" s="12">
        <f>B25/3600/Q9</f>
        <v>10.263748597081928</v>
      </c>
      <c r="S9" s="2"/>
      <c r="T9" s="2"/>
      <c r="U9" s="2"/>
      <c r="V9" s="2"/>
      <c r="W9" s="2"/>
      <c r="X9" s="2"/>
      <c r="Y9" s="2"/>
      <c r="Z9" s="3"/>
      <c r="AA9" s="5"/>
    </row>
    <row r="10" spans="1:27" ht="42.75" customHeight="1" x14ac:dyDescent="0.3">
      <c r="A10" s="8" t="s">
        <v>87</v>
      </c>
      <c r="B10" s="9">
        <f>IF(P5="угловая",(-0.0488*O5^2-0.8243*O5+77.346)+(273+E5)+1.22*(B9-(273+E5))*(2*0.6*H5+K5/L5)/L5*(1-EXP(-0.58*L5/(2*0.6*H5+K5/L5))),IF(P5="прямолинейная",(-0.0368*O5^2-3.9259*O5+119.81)+(273+E5)+1.22*(B9-(273+E5))*(2*0.6*H5+K5/L5)/L5*(1-EXP(-0.58*L5/(2*0.6*H5+K5/L5))),(-0.0067*O5^2-4.3122*O5+88.453)+(273+E5)+1.22*(B9-(273+E5))*(2*0.6*H5+K5/L5)/L5*(1-EXP(-0.58*L5/(2*0.6*H5+K5/L5)))))</f>
        <v>536.57188014283861</v>
      </c>
      <c r="C10" s="2"/>
      <c r="E10" s="59" t="str">
        <f>VLOOKUP(A5,'Климатологические данные'!A1:D450,4,FALSE)</f>
        <v>26</v>
      </c>
      <c r="F10" s="59" t="str">
        <f>VLOOKUP(A5,'Климатологические данные'!A1:D450,2,FALSE)</f>
        <v>-32</v>
      </c>
      <c r="G10" s="59">
        <f>ROUND('Климатологические данные'!S2*'Климатологические данные'!T2,1)</f>
        <v>6</v>
      </c>
      <c r="H10" s="43">
        <f>ROUND('Климатологические данные'!S2*'Климатологические данные'!T3,1)</f>
        <v>4</v>
      </c>
      <c r="J10" s="8" t="s">
        <v>29</v>
      </c>
      <c r="K10" s="7" t="s">
        <v>28</v>
      </c>
      <c r="L10" s="6">
        <v>12000</v>
      </c>
      <c r="M10" s="6">
        <f t="shared" si="0"/>
        <v>0.02</v>
      </c>
      <c r="N10" s="13">
        <v>0.6</v>
      </c>
      <c r="O10" s="14">
        <v>0.39999999999999997</v>
      </c>
      <c r="P10" s="11">
        <f>2*N10*O10/(N10+O10)</f>
        <v>0.47999999999999993</v>
      </c>
      <c r="Q10" s="11">
        <f>N10*O10</f>
        <v>0.23999999999999996</v>
      </c>
      <c r="R10" s="12">
        <f>B26/3600/Q10</f>
        <v>10.509259259259261</v>
      </c>
      <c r="S10" s="2"/>
      <c r="T10" s="2"/>
      <c r="U10" s="2"/>
      <c r="V10" s="2"/>
      <c r="W10" s="2"/>
      <c r="X10" s="2"/>
      <c r="Y10" s="2"/>
      <c r="Z10" s="3"/>
      <c r="AA10" s="5"/>
    </row>
    <row r="11" spans="1:27" ht="39.75" customHeight="1" x14ac:dyDescent="0.3">
      <c r="A11" s="6" t="s">
        <v>88</v>
      </c>
      <c r="B11" s="11">
        <f>353/(273+$E$10)</f>
        <v>1.1806020066889633</v>
      </c>
      <c r="C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3"/>
    </row>
    <row r="12" spans="1:27" ht="39.75" customHeight="1" x14ac:dyDescent="0.3">
      <c r="A12" s="6" t="s">
        <v>89</v>
      </c>
      <c r="B12" s="11">
        <f>353/(273+$F$10)</f>
        <v>1.4647302904564314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3"/>
    </row>
    <row r="13" spans="1:27" ht="60" customHeight="1" x14ac:dyDescent="0.3">
      <c r="A13" s="6" t="s">
        <v>30</v>
      </c>
      <c r="B13" s="11">
        <f>353/(273+$E$5)</f>
        <v>1.2214532871972319</v>
      </c>
      <c r="C13" s="2"/>
      <c r="D13" s="2"/>
      <c r="E13" s="79" t="s">
        <v>31</v>
      </c>
      <c r="F13" s="77"/>
      <c r="G13" s="71"/>
      <c r="H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3"/>
    </row>
    <row r="14" spans="1:27" ht="60" customHeight="1" x14ac:dyDescent="0.3">
      <c r="A14" s="6" t="s">
        <v>32</v>
      </c>
      <c r="B14" s="11">
        <f>353/(273+($E$5+$E$10)/2)</f>
        <v>1.2006802721088434</v>
      </c>
      <c r="C14" s="2"/>
      <c r="D14" s="2"/>
      <c r="E14" s="6" t="s">
        <v>33</v>
      </c>
      <c r="F14" s="6" t="s">
        <v>34</v>
      </c>
      <c r="G14" s="6" t="s">
        <v>35</v>
      </c>
      <c r="H14" s="2"/>
      <c r="L14" s="2"/>
      <c r="M14" s="2"/>
      <c r="N14" s="15"/>
      <c r="O14" s="15"/>
      <c r="P14" s="15"/>
      <c r="Q14" s="15"/>
      <c r="R14" s="15"/>
      <c r="S14" s="2"/>
      <c r="T14" s="2"/>
      <c r="U14" s="2"/>
      <c r="V14" s="2"/>
      <c r="W14" s="2"/>
      <c r="X14" s="2"/>
      <c r="Y14" s="2"/>
      <c r="Z14" s="2"/>
      <c r="AA14" s="3"/>
    </row>
    <row r="15" spans="1:27" ht="42" customHeight="1" x14ac:dyDescent="0.3">
      <c r="A15" s="6" t="s">
        <v>36</v>
      </c>
      <c r="B15" s="11">
        <f>353/(273+($E$5+$F$10)/2)</f>
        <v>1.3320754716981131</v>
      </c>
      <c r="C15" s="2"/>
      <c r="D15" s="2"/>
      <c r="E15" s="16">
        <v>0</v>
      </c>
      <c r="F15" s="16">
        <v>1</v>
      </c>
      <c r="G15" s="6">
        <f>ROUND(E15*3600/(353/F15),-2)</f>
        <v>0</v>
      </c>
      <c r="H15" s="2"/>
      <c r="L15" s="2"/>
      <c r="M15" s="2"/>
      <c r="N15" s="15"/>
      <c r="O15" s="15"/>
      <c r="P15" s="15"/>
      <c r="Q15" s="15"/>
      <c r="R15" s="15"/>
      <c r="S15" s="2"/>
      <c r="T15" s="2"/>
      <c r="U15" s="2"/>
      <c r="V15" s="2"/>
      <c r="W15" s="2"/>
      <c r="X15" s="2"/>
      <c r="Y15" s="2"/>
      <c r="Z15" s="2"/>
      <c r="AA15" s="3"/>
    </row>
    <row r="16" spans="1:27" ht="41.25" customHeight="1" x14ac:dyDescent="0.3">
      <c r="A16" s="6" t="s">
        <v>37</v>
      </c>
      <c r="B16" s="11">
        <f>353/B10</f>
        <v>0.65788017051141279</v>
      </c>
      <c r="C16" s="2"/>
      <c r="D16" s="2"/>
      <c r="E16" s="2"/>
      <c r="F16" s="2"/>
      <c r="G16" s="2"/>
      <c r="H16" s="2"/>
      <c r="L16" s="2"/>
      <c r="M16" s="2"/>
      <c r="N16" s="15"/>
      <c r="O16" s="15"/>
      <c r="P16" s="15"/>
      <c r="Q16" s="15"/>
      <c r="R16" s="15"/>
      <c r="S16" s="2"/>
      <c r="T16" s="2"/>
      <c r="U16" s="2"/>
      <c r="V16" s="2"/>
      <c r="W16" s="2"/>
      <c r="X16" s="2"/>
      <c r="Y16" s="2"/>
      <c r="Z16" s="2"/>
      <c r="AA16" s="3"/>
    </row>
    <row r="17" spans="1:27" ht="15" customHeight="1" x14ac:dyDescent="0.3">
      <c r="A17" s="2"/>
      <c r="B17" s="17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3"/>
    </row>
    <row r="18" spans="1:27" ht="30" customHeight="1" x14ac:dyDescent="0.3">
      <c r="A18" s="76" t="s">
        <v>38</v>
      </c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76" t="s">
        <v>39</v>
      </c>
      <c r="M18" s="77"/>
      <c r="N18" s="77"/>
      <c r="O18" s="77"/>
      <c r="P18" s="77"/>
      <c r="Q18" s="77"/>
      <c r="R18" s="77"/>
      <c r="S18" s="77"/>
      <c r="T18" s="77"/>
      <c r="U18" s="71"/>
      <c r="V18" s="18"/>
      <c r="W18" s="2"/>
      <c r="X18" s="2"/>
      <c r="Y18" s="2"/>
      <c r="Z18" s="3"/>
      <c r="AA18" s="3"/>
    </row>
    <row r="19" spans="1:27" ht="99.75" customHeight="1" x14ac:dyDescent="0.3">
      <c r="A19" s="8" t="s">
        <v>40</v>
      </c>
      <c r="B19" s="19" t="s">
        <v>41</v>
      </c>
      <c r="C19" s="8" t="s">
        <v>42</v>
      </c>
      <c r="D19" s="8" t="s">
        <v>43</v>
      </c>
      <c r="E19" s="8" t="s">
        <v>44</v>
      </c>
      <c r="F19" s="8" t="s">
        <v>45</v>
      </c>
      <c r="G19" s="8" t="s">
        <v>46</v>
      </c>
      <c r="H19" s="8" t="s">
        <v>47</v>
      </c>
      <c r="I19" s="8" t="s">
        <v>48</v>
      </c>
      <c r="J19" s="8" t="s">
        <v>49</v>
      </c>
      <c r="K19" s="8" t="s">
        <v>50</v>
      </c>
      <c r="L19" s="62" t="s">
        <v>51</v>
      </c>
      <c r="M19" s="63" t="s">
        <v>52</v>
      </c>
      <c r="N19" s="63" t="s">
        <v>53</v>
      </c>
      <c r="O19" s="63" t="s">
        <v>54</v>
      </c>
      <c r="P19" s="63" t="s">
        <v>55</v>
      </c>
      <c r="Q19" s="63" t="s">
        <v>56</v>
      </c>
      <c r="R19" s="63" t="s">
        <v>57</v>
      </c>
      <c r="S19" s="63" t="s">
        <v>58</v>
      </c>
      <c r="T19" s="63" t="s">
        <v>59</v>
      </c>
      <c r="U19" s="63" t="s">
        <v>60</v>
      </c>
      <c r="V19" s="2"/>
      <c r="W19" s="2"/>
      <c r="X19" s="3"/>
      <c r="Y19" s="3"/>
      <c r="Z19" s="3"/>
      <c r="AA19" s="5"/>
    </row>
    <row r="20" spans="1:27" ht="30.75" customHeight="1" x14ac:dyDescent="0.3">
      <c r="A20" s="20">
        <f>ROW()-20+$C$5</f>
        <v>1</v>
      </c>
      <c r="B20" s="21">
        <f>0.4*$B$11*POWER($G$10,2)-9.81*F20*($B$11-$B$14)</f>
        <v>17.000668896321073</v>
      </c>
      <c r="C20" s="21">
        <f>-0.3*$B$11*POWER($G$10,2)-9.81*F20*($B$11-$B$14)</f>
        <v>-12.750501672240803</v>
      </c>
      <c r="D20" s="21">
        <f t="shared" ref="D20:D21" si="1">(B20+C20)/2</f>
        <v>2.1250836120401351</v>
      </c>
      <c r="E20" s="21">
        <f>B20-$F$33</f>
        <v>-165.72013572350426</v>
      </c>
      <c r="F20" s="22">
        <f>(A20-1)*D5</f>
        <v>0</v>
      </c>
      <c r="G20" s="21">
        <f>IF(G15&lt;(IF(Q5="Жилое",0.96,1.2)*J5*POWER(I5,3/2))*3600/(353/B10),IF(Q5="Жилое",0.96,1.2)*J5*POWER(I5,3/2),E15)</f>
        <v>3.2866442460357645</v>
      </c>
      <c r="H20" s="21">
        <f>IF(E15&lt;G20,B10,F15)</f>
        <v>536.57188014283861</v>
      </c>
      <c r="I20" s="21">
        <f t="shared" ref="I20:I21" si="2">353/H20</f>
        <v>0.65788017051141279</v>
      </c>
      <c r="J20" s="21">
        <f>F32</f>
        <v>11.784349206754305</v>
      </c>
      <c r="K20" s="21">
        <v>0</v>
      </c>
      <c r="L20" s="21">
        <f>(0.4*$B$12*POWER($G$10,2)-9.81*P20*($B$12-$B$15))*-1</f>
        <v>-21.092116182572614</v>
      </c>
      <c r="M20" s="21">
        <f>(-0.3*$B$12*POWER($G$10,2)-9.81*P20*($B$12-$B$15))*-1</f>
        <v>15.819087136929458</v>
      </c>
      <c r="N20" s="21">
        <f t="shared" ref="N20:N21" si="3">(L20+M20)/2</f>
        <v>-2.6365145228215781</v>
      </c>
      <c r="O20" s="21">
        <f>L20-$K$33</f>
        <v>-206.78094517890693</v>
      </c>
      <c r="P20" s="22">
        <f>(A20-1)*D5</f>
        <v>0</v>
      </c>
      <c r="Q20" s="21">
        <f>G20</f>
        <v>3.2866442460357645</v>
      </c>
      <c r="R20" s="21">
        <f>273+($F$10+$E$5)/2</f>
        <v>265</v>
      </c>
      <c r="S20" s="21">
        <f t="shared" ref="S20:S21" si="4">353/R20</f>
        <v>1.3320754716981131</v>
      </c>
      <c r="T20" s="21">
        <f>K32</f>
        <v>8.3485965711762482</v>
      </c>
      <c r="U20" s="21"/>
      <c r="V20" s="2"/>
      <c r="W20" s="2"/>
      <c r="X20" s="3"/>
      <c r="Y20" s="3"/>
      <c r="Z20" s="3"/>
      <c r="AA20" s="5"/>
    </row>
    <row r="21" spans="1:27" ht="30" customHeight="1" x14ac:dyDescent="0.3">
      <c r="A21" s="20">
        <f>ROW()-20+$C$5</f>
        <v>2</v>
      </c>
      <c r="B21" s="21">
        <f>0.4*$B$11*POWER($G$10,2)-9.81*F21*($B$11-$B$14)</f>
        <v>17.591572247628147</v>
      </c>
      <c r="C21" s="21">
        <f>-0.3*$B$11*POWER($G$10,2)-9.81*F21*($B$11-$B$14)</f>
        <v>-12.159598320933732</v>
      </c>
      <c r="D21" s="21">
        <f t="shared" si="1"/>
        <v>2.7159869633472074</v>
      </c>
      <c r="E21" s="21">
        <f>ROUND(E20-($M$9*$D$5/$P$9)*(I20*J20^2/2),2)</f>
        <v>-170.01</v>
      </c>
      <c r="F21" s="22">
        <f>F20+$D$5</f>
        <v>3</v>
      </c>
      <c r="G21" s="21">
        <f>G20+IF($F$25=1,POWER((D21-E21)/($L$9/POWER($F$31,2)),1/2),POWER((D21-E21)/($L$9/POWER($F$31,2)),1/2)+POWER((D21-E21)/($L$9/POWER($G$31,2)),1/2))</f>
        <v>3.3375056701499233</v>
      </c>
      <c r="H21" s="21">
        <f>((273+$E$5)*(G21-$G$20)+$H$20*$G$20)/($G$20+(G21-$G$20))</f>
        <v>532.79904508601635</v>
      </c>
      <c r="I21" s="21">
        <f t="shared" si="2"/>
        <v>0.66253872497652622</v>
      </c>
      <c r="J21" s="22">
        <f>ROUND(G21/($N$9*$O$9*I21),2)</f>
        <v>10.18</v>
      </c>
      <c r="K21" s="52">
        <f>IF($F$25=1,POWER((D21-E21)/($L$9/POWER($F$31,2)),1/2),POWER((D21-E21)/($L$9/POWER($F$31,2)),1/2)+POWER((D21-E21)/($L$9/POWER($G$31,2)),1/2))</f>
        <v>5.086142411415872E-2</v>
      </c>
      <c r="L21" s="21">
        <f>(0.4*$B$12*POWER($G$10,2)-9.81*P21*($B$12-$B$15))*-1</f>
        <v>-17.188084866515307</v>
      </c>
      <c r="M21" s="52">
        <f>(-0.3*$B$12*POWER($G$10,2)-9.81*P21*($B$12-$B$15))*-1</f>
        <v>19.723118452986764</v>
      </c>
      <c r="N21" s="52">
        <f t="shared" si="3"/>
        <v>1.2675167932357283</v>
      </c>
      <c r="O21" s="52">
        <f>ROUND(O20-($M$10*$D$5/$P$10)*(S20*T20^2/2),2)</f>
        <v>-212.58</v>
      </c>
      <c r="P21" s="22">
        <f>P20+$D$5</f>
        <v>3</v>
      </c>
      <c r="Q21" s="21">
        <f>Q20+IF($K$25=1,POWER((D21-E21)/($L$9/POWER($K$31,2)),1/2),POWER((D21-E21)/($L$9/POWER($K$31,2)),1/2)+POWER((D21-E21)/($L$9/POWER($L$31,2)),1/2))</f>
        <v>3.322100970251217</v>
      </c>
      <c r="R21" s="21">
        <f>273+($F$10+$E$5)/2</f>
        <v>265</v>
      </c>
      <c r="S21" s="21">
        <f t="shared" si="4"/>
        <v>1.3320754716981131</v>
      </c>
      <c r="T21" s="22">
        <f>ROUND(Q21/($N$10*$O$10*S21),2)</f>
        <v>10.39</v>
      </c>
      <c r="U21" s="21">
        <f>IF($K$25=1,POWER((N21-O21)/($L$10/POWER($K$31,2)),1/2),POWER((N21-O21)/($L$10/POWER($K$31,2)),1/2)+POWER((N21-O21)/($L$10/POWER($L$31,2)),1/2))</f>
        <v>3.9452258833914497E-2</v>
      </c>
      <c r="V21" s="2"/>
      <c r="W21" s="2"/>
      <c r="X21" s="3"/>
      <c r="Y21" s="3"/>
      <c r="Z21" s="3"/>
      <c r="AA21" s="5"/>
    </row>
    <row r="22" spans="1:27" s="29" customFormat="1" ht="30" customHeight="1" x14ac:dyDescent="0.3">
      <c r="A22" s="23">
        <f>ROW()-20+$C$5</f>
        <v>3</v>
      </c>
      <c r="B22" s="24">
        <f>0.4*$B$11*POWER($G$10,2)-9.81*F22*($B$11-$B$14)</f>
        <v>18.182475598935216</v>
      </c>
      <c r="C22" s="24">
        <f>-0.3*$B$11*POWER($G$10,2)-9.81*F22*($B$11-$B$14)</f>
        <v>-11.568694969626661</v>
      </c>
      <c r="D22" s="24">
        <f t="shared" ref="D22" si="5">(B22+C22)/2</f>
        <v>3.3068903146542779</v>
      </c>
      <c r="E22" s="24">
        <f>ROUND(E21-($M$9*$D$5/$P$9)*(I21*J21^2/2),2)</f>
        <v>-173.23</v>
      </c>
      <c r="F22" s="25">
        <f>F21+$D$5</f>
        <v>6</v>
      </c>
      <c r="G22" s="24">
        <f>G21+IF($F$25=1,POWER((D22-E22)/($L$9/POWER($F$31,2)),1/2),POWER((D22-E22)/($L$9/POWER($F$31,2)),1/2)+POWER((D22-E22)/($L$9/POWER($G$31,2)),1/2))</f>
        <v>3.3889251182428639</v>
      </c>
      <c r="H22" s="24">
        <f>((273+$E$5)*(G22-$G$20)+$H$20*$G$20)/($G$20+(G22-$G$20))</f>
        <v>529.09993344839813</v>
      </c>
      <c r="I22" s="24">
        <f t="shared" ref="I22" si="6">353/H22</f>
        <v>0.66717075108917445</v>
      </c>
      <c r="J22" s="25">
        <f>ROUND(G22/($N$9*$O$9*I22),2)</f>
        <v>10.26</v>
      </c>
      <c r="K22" s="60">
        <f>IF($F$25=1,POWER((D22-E22)/($L$9/POWER($F$31,2)),1/2),POWER((D22-E22)/($L$9/POWER($F$31,2)),1/2)+POWER((D22-E22)/($L$9/POWER($G$31,2)),1/2))</f>
        <v>5.1419448092940537E-2</v>
      </c>
      <c r="L22" s="24">
        <f>(0.4*$B$12*POWER($G$10,2)-9.81*P22*($B$12-$B$15))*-1</f>
        <v>-13.284053550457998</v>
      </c>
      <c r="M22" s="60">
        <f>(-0.3*$B$12*POWER($G$10,2)-9.81*P22*($B$12-$B$15))*-1</f>
        <v>23.627149769044074</v>
      </c>
      <c r="N22" s="60">
        <f t="shared" ref="N22" si="7">(L22+M22)/2</f>
        <v>5.1715481092930382</v>
      </c>
      <c r="O22" s="60">
        <f>ROUND(O21-($M$10*$D$5/$P$10)*(S21*T21^2/2),2)</f>
        <v>-221.57</v>
      </c>
      <c r="P22" s="25">
        <f>P21+$D$5</f>
        <v>6</v>
      </c>
      <c r="Q22" s="24">
        <f>Q21+IF($K$25=1,POWER((D22-E22)/($L$9/POWER($K$31,2)),1/2),POWER((D22-E22)/($L$9/POWER($K$31,2)),1/2)+POWER((D22-E22)/($L$9/POWER($L$31,2)),1/2))</f>
        <v>3.3579467064274211</v>
      </c>
      <c r="R22" s="24">
        <f>273+($F$10+$E$5)/2</f>
        <v>265</v>
      </c>
      <c r="S22" s="24">
        <f t="shared" ref="S22" si="8">353/R22</f>
        <v>1.3320754716981131</v>
      </c>
      <c r="T22" s="25">
        <f>ROUND(Q22/($N$10*$O$10*S22),2)</f>
        <v>10.5</v>
      </c>
      <c r="U22" s="24">
        <f>IF($K$25=1,POWER((N22-O22)/($L$10/POWER($K$31,2)),1/2),POWER((N22-O22)/($L$10/POWER($K$31,2)),1/2)+POWER((N22-O22)/($L$10/POWER($L$31,2)),1/2))</f>
        <v>4.0624246775914821E-2</v>
      </c>
      <c r="V22" s="26"/>
      <c r="W22" s="26"/>
      <c r="X22" s="27"/>
      <c r="Y22" s="27"/>
      <c r="Z22" s="27"/>
      <c r="AA22" s="28"/>
    </row>
    <row r="23" spans="1:27" ht="30" customHeight="1" x14ac:dyDescent="0.3">
      <c r="A23" s="30" t="s">
        <v>61</v>
      </c>
      <c r="B23" s="81">
        <f>0.4*$B$11*POWER($G$10,2)-9.81*$F$5*($B$11-$B$14)</f>
        <v>26.84905808477227</v>
      </c>
      <c r="C23" s="77"/>
      <c r="D23" s="77"/>
      <c r="E23" s="71"/>
      <c r="F23" s="31" t="s">
        <v>62</v>
      </c>
      <c r="G23" s="32">
        <f>MAX('Из коридоров'!$G$20:$G$22)</f>
        <v>3.3889251182428639</v>
      </c>
      <c r="H23" s="32">
        <f>MIN('Из коридоров'!$H$20:$H$22)</f>
        <v>529.09993344839813</v>
      </c>
      <c r="I23" s="32">
        <f>MAX('Из коридоров'!$I$20:$I$22)</f>
        <v>0.66717075108917445</v>
      </c>
      <c r="J23" s="2"/>
      <c r="K23" s="58"/>
      <c r="L23" s="57"/>
      <c r="M23" s="54"/>
      <c r="N23" s="55"/>
      <c r="O23" s="56"/>
      <c r="P23" s="53" t="s">
        <v>62</v>
      </c>
      <c r="Q23" s="32">
        <f>MAX('Из коридоров'!$Q$20:$Q$22)</f>
        <v>3.3579467064274211</v>
      </c>
      <c r="R23" s="32">
        <f>MIN('Из коридоров'!$R$20:$R$22)</f>
        <v>265</v>
      </c>
      <c r="S23" s="32">
        <f>MAX('Из коридоров'!$S$20:$S$22)</f>
        <v>1.3320754716981131</v>
      </c>
      <c r="T23" s="17"/>
      <c r="U23" s="3"/>
      <c r="V23" s="2"/>
      <c r="W23" s="2"/>
      <c r="X23" s="2"/>
      <c r="Y23" s="2"/>
      <c r="Z23" s="3"/>
      <c r="AA23" s="5"/>
    </row>
    <row r="24" spans="1:27" ht="30" customHeight="1" x14ac:dyDescent="0.3">
      <c r="A24" s="76" t="s">
        <v>63</v>
      </c>
      <c r="B24" s="71"/>
      <c r="C24" s="2"/>
      <c r="D24" s="76" t="s">
        <v>64</v>
      </c>
      <c r="E24" s="77"/>
      <c r="F24" s="77"/>
      <c r="G24" s="71"/>
      <c r="H24" s="2"/>
      <c r="I24" s="76" t="s">
        <v>65</v>
      </c>
      <c r="J24" s="77"/>
      <c r="K24" s="78"/>
      <c r="L24" s="71"/>
      <c r="M24" s="2"/>
      <c r="N24" s="2"/>
      <c r="O24" s="2"/>
      <c r="P24" s="2"/>
      <c r="Q24" s="2"/>
      <c r="R24" s="2"/>
      <c r="S24" s="2"/>
      <c r="T24" s="2"/>
      <c r="U24" s="17">
        <f>SUM(U20:U23)</f>
        <v>8.0076505609829318E-2</v>
      </c>
      <c r="V24" s="2"/>
      <c r="W24" s="2"/>
      <c r="X24" s="2"/>
      <c r="Y24" s="2"/>
      <c r="Z24" s="2"/>
      <c r="AA24" s="3"/>
    </row>
    <row r="25" spans="1:27" ht="39.75" customHeight="1" x14ac:dyDescent="0.3">
      <c r="A25" s="8" t="s">
        <v>66</v>
      </c>
      <c r="B25" s="33">
        <f>ROUNDUP(3600*G23/I23,-1)</f>
        <v>18290</v>
      </c>
      <c r="C25" s="2"/>
      <c r="D25" s="72" t="s">
        <v>67</v>
      </c>
      <c r="E25" s="73"/>
      <c r="F25" s="70">
        <v>1</v>
      </c>
      <c r="G25" s="71"/>
      <c r="H25" s="2"/>
      <c r="I25" s="72" t="s">
        <v>67</v>
      </c>
      <c r="J25" s="73"/>
      <c r="K25" s="70">
        <v>1</v>
      </c>
      <c r="L25" s="71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3"/>
    </row>
    <row r="26" spans="1:27" ht="39.75" customHeight="1" x14ac:dyDescent="0.3">
      <c r="A26" s="8" t="s">
        <v>68</v>
      </c>
      <c r="B26" s="33">
        <f>ROUNDUP(3600*Q23/B15,-1)</f>
        <v>9080</v>
      </c>
      <c r="C26" s="2"/>
      <c r="D26" s="74"/>
      <c r="E26" s="75"/>
      <c r="F26" s="6" t="s">
        <v>69</v>
      </c>
      <c r="G26" s="6" t="s">
        <v>70</v>
      </c>
      <c r="H26" s="2"/>
      <c r="I26" s="74"/>
      <c r="J26" s="75"/>
      <c r="K26" s="6" t="s">
        <v>69</v>
      </c>
      <c r="L26" s="6" t="s">
        <v>70</v>
      </c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3"/>
    </row>
    <row r="27" spans="1:27" ht="39.75" customHeight="1" x14ac:dyDescent="0.3">
      <c r="A27" s="8" t="s">
        <v>71</v>
      </c>
      <c r="B27" s="7">
        <v>200</v>
      </c>
      <c r="C27" s="2"/>
      <c r="D27" s="83" t="s">
        <v>72</v>
      </c>
      <c r="E27" s="71"/>
      <c r="F27" s="34">
        <f>IF(F25=1,IF(Q5="Жилое",0.96,1.2)*J5*POWER(I5,3/2),IF(Q5="Жилое",0.96,1.2)*J5*POWER(I5,3/2)*(F31/(F31+G31)))</f>
        <v>3.2866442460357645</v>
      </c>
      <c r="G27" s="34" t="str">
        <f>IF(F25=1,"-",IF(Q5="Жилое",0.96,1.2)*J5*POWER(I5,3/2)*(G31/(F31+G31)))</f>
        <v>-</v>
      </c>
      <c r="H27" s="2"/>
      <c r="I27" s="83" t="s">
        <v>72</v>
      </c>
      <c r="J27" s="71"/>
      <c r="K27" s="32">
        <f>IF(K25=1,IF(Q5="Жилое",0.96,1.2)*J5*POWER(I5,3/2),IF(Q5="Жилое",0.96,1.2)*J5*POWER(I5,3/2)*(K31/(K31+L31)))</f>
        <v>3.2866442460357645</v>
      </c>
      <c r="L27" s="32" t="str">
        <f>IF(K25=1,"-",IF(Q5="Жилое",0.96,1.2)*J5*POWER(I5,3/2)*(L31/(K31+L31)))</f>
        <v>-</v>
      </c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3"/>
    </row>
    <row r="28" spans="1:27" ht="39.75" customHeight="1" x14ac:dyDescent="0.3">
      <c r="A28" s="8" t="s">
        <v>73</v>
      </c>
      <c r="B28" s="7">
        <v>200</v>
      </c>
      <c r="C28" s="2"/>
      <c r="D28" s="83" t="s">
        <v>74</v>
      </c>
      <c r="E28" s="71"/>
      <c r="F28" s="35">
        <f>$F$27*3600/$B$16</f>
        <v>17984.915515132547</v>
      </c>
      <c r="G28" s="35" t="str">
        <f>IF(F25=2,$G$27*3600/$B$16,"-")</f>
        <v>-</v>
      </c>
      <c r="H28" s="2"/>
      <c r="I28" s="83" t="s">
        <v>74</v>
      </c>
      <c r="J28" s="71"/>
      <c r="K28" s="33">
        <f>$K$27*3600/$B$15</f>
        <v>8882.3190105329159</v>
      </c>
      <c r="L28" s="33" t="str">
        <f>IF(K25=1,"-",$L$27*3600/$B$15)</f>
        <v>-</v>
      </c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3"/>
    </row>
    <row r="29" spans="1:27" ht="39.75" customHeight="1" x14ac:dyDescent="0.3">
      <c r="A29" s="8" t="s">
        <v>75</v>
      </c>
      <c r="B29" s="33">
        <f>B23-E22+9.81*(F5-F22)*(I22-B14)+B27</f>
        <v>169.79500843184232</v>
      </c>
      <c r="C29" s="2"/>
      <c r="D29" s="83" t="s">
        <v>76</v>
      </c>
      <c r="E29" s="71"/>
      <c r="F29" s="36">
        <v>1.0500000000000003</v>
      </c>
      <c r="G29" s="13">
        <v>0.7</v>
      </c>
      <c r="H29" s="37"/>
      <c r="I29" s="83" t="s">
        <v>76</v>
      </c>
      <c r="J29" s="71"/>
      <c r="K29" s="36">
        <f>N10-0.05</f>
        <v>0.54999999999999993</v>
      </c>
      <c r="L29" s="13">
        <v>0.5</v>
      </c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3"/>
    </row>
    <row r="30" spans="1:27" ht="39.75" customHeight="1" x14ac:dyDescent="0.3">
      <c r="A30" s="8" t="s">
        <v>77</v>
      </c>
      <c r="B30" s="33">
        <f>ROUNDUP(1.2*B29/I23,-1)</f>
        <v>310</v>
      </c>
      <c r="C30" s="2"/>
      <c r="D30" s="83" t="s">
        <v>78</v>
      </c>
      <c r="E30" s="71"/>
      <c r="F30" s="38">
        <f>H5-I5-0.1</f>
        <v>0.50000000000000011</v>
      </c>
      <c r="G30" s="7">
        <f>H5-I5-0.05</f>
        <v>0.55000000000000004</v>
      </c>
      <c r="H30" s="17"/>
      <c r="I30" s="83" t="s">
        <v>78</v>
      </c>
      <c r="J30" s="71"/>
      <c r="K30" s="38">
        <v>0.65</v>
      </c>
      <c r="L30" s="7">
        <v>0.5</v>
      </c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3"/>
    </row>
    <row r="31" spans="1:27" ht="39.75" customHeight="1" x14ac:dyDescent="0.3">
      <c r="A31" s="8" t="s">
        <v>79</v>
      </c>
      <c r="B31" s="33">
        <f>ROUNDUP(L22-(-0.6*B12*(H10^2)/2-9.8*(G5-P20)*(B12-B13)),-1)+B28</f>
        <v>210</v>
      </c>
      <c r="C31" s="2"/>
      <c r="D31" s="83" t="s">
        <v>80</v>
      </c>
      <c r="E31" s="71"/>
      <c r="F31" s="39">
        <f>(F29-0.026)*(F30-0.086)</f>
        <v>0.42393600000000026</v>
      </c>
      <c r="G31" s="39" t="str">
        <f>IF(F25=2,(G29-0.026)*(G30-0.086),"-")</f>
        <v>-</v>
      </c>
      <c r="H31" s="40"/>
      <c r="I31" s="83" t="s">
        <v>80</v>
      </c>
      <c r="J31" s="71"/>
      <c r="K31" s="39">
        <f>(K29-0.026)*(K30-0.086)</f>
        <v>0.29553599999999997</v>
      </c>
      <c r="L31" s="39" t="str">
        <f>IF(K25=2,(L29-0.026)*(L30-0.086),"-")</f>
        <v>-</v>
      </c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3"/>
    </row>
    <row r="32" spans="1:27" ht="39.75" customHeight="1" x14ac:dyDescent="0.3">
      <c r="A32" s="2"/>
      <c r="B32" s="2"/>
      <c r="C32" s="2"/>
      <c r="D32" s="83" t="s">
        <v>81</v>
      </c>
      <c r="E32" s="71"/>
      <c r="F32" s="32">
        <f>F27/$B$16/F31</f>
        <v>11.784349206754305</v>
      </c>
      <c r="G32" s="32" t="str">
        <f>IF(F25=2,G27/$B$16/G31,"-")</f>
        <v>-</v>
      </c>
      <c r="H32" s="2"/>
      <c r="I32" s="83" t="s">
        <v>82</v>
      </c>
      <c r="J32" s="71"/>
      <c r="K32" s="32">
        <f>K27/B15/K31</f>
        <v>8.3485965711762482</v>
      </c>
      <c r="L32" s="32" t="str">
        <f>IF(K25=2,L27/B15/L31,"-")</f>
        <v>-</v>
      </c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3"/>
    </row>
    <row r="33" spans="1:27" ht="39.75" customHeight="1" x14ac:dyDescent="0.3">
      <c r="A33" s="2"/>
      <c r="B33" s="2"/>
      <c r="C33" s="2"/>
      <c r="D33" s="83" t="s">
        <v>83</v>
      </c>
      <c r="E33" s="71"/>
      <c r="F33" s="33">
        <f>4*$B$16*POWER(F32,2)/2</f>
        <v>182.72080461982534</v>
      </c>
      <c r="G33" s="33" t="str">
        <f>IF(F25=2,4*$B$16*POWER(G32,2)/2,"-")</f>
        <v>-</v>
      </c>
      <c r="H33" s="2"/>
      <c r="I33" s="83" t="s">
        <v>83</v>
      </c>
      <c r="J33" s="71"/>
      <c r="K33" s="33">
        <f>4*B15*POWER(K32,2)/2</f>
        <v>185.68882899633431</v>
      </c>
      <c r="L33" s="33" t="str">
        <f>IF(K25=2,4*B15*POWER(L32,2)/2,"-")</f>
        <v>-</v>
      </c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3"/>
    </row>
    <row r="34" spans="1:27" ht="15.75" customHeight="1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3"/>
    </row>
    <row r="35" spans="1:27" ht="15.75" customHeight="1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3"/>
    </row>
    <row r="36" spans="1:27" ht="15.75" customHeight="1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3"/>
    </row>
    <row r="37" spans="1:27" ht="15.75" customHeight="1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3"/>
    </row>
    <row r="38" spans="1:27" ht="15.75" customHeight="1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3"/>
    </row>
    <row r="39" spans="1:27" ht="15.75" customHeight="1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3"/>
    </row>
    <row r="40" spans="1:27" ht="15.75" customHeight="1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3"/>
    </row>
    <row r="41" spans="1:27" ht="15.75" customHeight="1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3"/>
    </row>
    <row r="42" spans="1:27" ht="15.75" customHeight="1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3"/>
    </row>
    <row r="43" spans="1:27" ht="15.75" customHeight="1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3"/>
    </row>
    <row r="44" spans="1:27" ht="15.75" customHeight="1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3"/>
    </row>
    <row r="45" spans="1:27" ht="15.75" customHeight="1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3"/>
    </row>
    <row r="46" spans="1:27" ht="15.75" customHeight="1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3"/>
    </row>
    <row r="47" spans="1:27" ht="15.75" customHeight="1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3"/>
    </row>
    <row r="48" spans="1:27" ht="15.7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3"/>
    </row>
    <row r="49" spans="1:27" ht="15.7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3"/>
    </row>
    <row r="50" spans="1:27" ht="15.7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3"/>
    </row>
    <row r="51" spans="1:27" ht="15.7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3"/>
    </row>
    <row r="52" spans="1:27" ht="15.7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3"/>
    </row>
    <row r="53" spans="1:27" ht="15.75" customHeight="1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3"/>
    </row>
    <row r="54" spans="1:27" ht="15.75" customHeight="1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3"/>
    </row>
    <row r="55" spans="1:27" ht="15.75" customHeight="1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3"/>
    </row>
    <row r="56" spans="1:27" ht="15.75" customHeight="1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3"/>
    </row>
    <row r="57" spans="1:27" ht="15.75" customHeight="1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3"/>
    </row>
    <row r="58" spans="1:27" ht="15.75" customHeight="1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3"/>
    </row>
    <row r="59" spans="1:27" ht="15.75" customHeight="1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3"/>
    </row>
    <row r="60" spans="1:27" ht="15.75" customHeight="1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3"/>
    </row>
    <row r="61" spans="1:27" ht="15.75" customHeight="1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3"/>
    </row>
    <row r="62" spans="1:27" ht="15.75" customHeight="1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3"/>
    </row>
    <row r="63" spans="1:27" ht="15.75" customHeight="1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3"/>
    </row>
    <row r="64" spans="1:27" ht="15.75" customHeight="1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3"/>
    </row>
    <row r="65" spans="1:27" ht="15.75" customHeight="1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3"/>
    </row>
    <row r="66" spans="1:27" ht="15.75" customHeight="1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3"/>
    </row>
    <row r="67" spans="1:27" ht="15.75" customHeight="1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3"/>
    </row>
    <row r="68" spans="1:27" ht="15.75" customHeight="1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3"/>
    </row>
    <row r="69" spans="1:27" ht="15.75" customHeight="1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3"/>
    </row>
    <row r="70" spans="1:27" ht="15.75" customHeight="1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3"/>
    </row>
    <row r="71" spans="1:27" ht="15.75" customHeight="1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3"/>
    </row>
    <row r="72" spans="1:27" ht="15.75" customHeight="1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3"/>
    </row>
    <row r="73" spans="1:27" ht="15.75" customHeight="1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3"/>
    </row>
    <row r="74" spans="1:27" ht="15.75" customHeight="1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3"/>
    </row>
    <row r="75" spans="1:27" ht="15.75" customHeight="1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3"/>
    </row>
    <row r="76" spans="1:27" ht="15.75" customHeight="1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3"/>
    </row>
    <row r="77" spans="1:27" ht="15.75" customHeight="1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3"/>
    </row>
    <row r="78" spans="1:27" ht="15.75" customHeight="1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3"/>
    </row>
    <row r="79" spans="1:27" ht="15.75" customHeight="1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3"/>
    </row>
    <row r="80" spans="1:27" ht="15.75" customHeight="1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3"/>
    </row>
    <row r="81" spans="1:27" ht="15.75" customHeight="1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3"/>
    </row>
    <row r="82" spans="1:27" ht="15.75" customHeight="1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3"/>
    </row>
    <row r="83" spans="1:27" ht="15.75" customHeight="1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3"/>
    </row>
    <row r="84" spans="1:27" ht="15.75" customHeight="1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3"/>
    </row>
    <row r="85" spans="1:27" ht="15.75" customHeight="1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3"/>
    </row>
    <row r="86" spans="1:27" ht="15.75" customHeight="1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3"/>
    </row>
    <row r="87" spans="1:27" ht="15.75" customHeight="1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3"/>
    </row>
    <row r="88" spans="1:27" ht="15.75" customHeight="1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3"/>
    </row>
    <row r="89" spans="1:27" ht="15.75" customHeight="1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3"/>
    </row>
    <row r="90" spans="1:27" ht="15.75" customHeight="1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3"/>
    </row>
    <row r="91" spans="1:27" ht="15.75" customHeight="1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3"/>
    </row>
    <row r="92" spans="1:27" ht="15.75" customHeight="1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3"/>
    </row>
    <row r="93" spans="1:27" ht="15.75" customHeight="1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3"/>
    </row>
    <row r="94" spans="1:27" ht="15.75" customHeight="1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3"/>
    </row>
    <row r="95" spans="1:27" ht="15.75" customHeight="1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3"/>
    </row>
    <row r="96" spans="1:27" ht="15.75" customHeight="1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3"/>
    </row>
    <row r="97" spans="1:27" ht="15.75" customHeight="1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3"/>
    </row>
    <row r="98" spans="1:27" ht="15.75" customHeight="1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3"/>
    </row>
    <row r="99" spans="1:27" ht="15.75" customHeight="1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3"/>
    </row>
    <row r="100" spans="1:27" ht="15.75" customHeight="1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3"/>
    </row>
    <row r="101" spans="1:27" ht="15.75" customHeight="1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3"/>
    </row>
    <row r="102" spans="1:27" ht="15.75" customHeight="1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3"/>
    </row>
    <row r="103" spans="1:27" ht="15.75" customHeight="1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3"/>
    </row>
    <row r="104" spans="1:27" ht="15.75" customHeight="1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3"/>
    </row>
    <row r="105" spans="1:27" ht="15.75" customHeight="1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3"/>
    </row>
    <row r="106" spans="1:27" ht="15.75" customHeight="1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3"/>
    </row>
    <row r="107" spans="1:27" ht="15.75" customHeight="1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3"/>
    </row>
    <row r="108" spans="1:27" ht="15.75" customHeight="1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3"/>
    </row>
    <row r="109" spans="1:27" ht="15.75" customHeight="1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3"/>
    </row>
    <row r="110" spans="1:27" ht="15.75" customHeight="1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3"/>
    </row>
    <row r="111" spans="1:27" ht="15.75" customHeight="1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3"/>
    </row>
    <row r="112" spans="1:27" ht="15.75" customHeight="1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3"/>
    </row>
    <row r="113" spans="1:27" ht="15.75" customHeight="1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3"/>
    </row>
    <row r="114" spans="1:27" ht="15.75" customHeight="1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3"/>
    </row>
    <row r="115" spans="1:27" ht="15.75" customHeight="1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3"/>
    </row>
    <row r="116" spans="1:27" ht="15.75" customHeight="1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3"/>
    </row>
    <row r="117" spans="1:27" ht="15.75" customHeight="1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3"/>
    </row>
    <row r="118" spans="1:27" ht="15.75" customHeight="1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3"/>
    </row>
    <row r="119" spans="1:27" ht="15.75" customHeight="1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3"/>
    </row>
    <row r="120" spans="1:27" ht="15.75" customHeight="1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3"/>
    </row>
    <row r="121" spans="1:27" ht="15.75" customHeight="1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3"/>
    </row>
    <row r="122" spans="1:27" ht="15.75" customHeight="1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3"/>
    </row>
    <row r="123" spans="1:27" ht="15.75" customHeight="1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3"/>
    </row>
    <row r="124" spans="1:27" ht="15.75" customHeight="1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3"/>
    </row>
    <row r="125" spans="1:27" ht="15.75" customHeight="1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3"/>
    </row>
    <row r="126" spans="1:27" ht="15.75" customHeight="1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3"/>
    </row>
    <row r="127" spans="1:27" ht="15.75" customHeight="1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3"/>
    </row>
    <row r="128" spans="1:27" ht="15.75" customHeight="1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3"/>
    </row>
    <row r="129" spans="1:27" ht="15.75" customHeight="1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3"/>
    </row>
    <row r="130" spans="1:27" ht="15.75" customHeight="1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3"/>
    </row>
    <row r="131" spans="1:27" ht="15.75" customHeight="1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3"/>
    </row>
    <row r="132" spans="1:27" ht="15.75" customHeight="1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3"/>
    </row>
    <row r="133" spans="1:27" ht="15.75" customHeight="1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3"/>
    </row>
    <row r="134" spans="1:27" ht="15.75" customHeight="1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3"/>
    </row>
    <row r="135" spans="1:27" ht="15.75" customHeight="1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3"/>
    </row>
    <row r="136" spans="1:27" ht="15.75" customHeight="1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3"/>
    </row>
    <row r="137" spans="1:27" ht="15.75" customHeight="1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3"/>
    </row>
    <row r="138" spans="1:27" ht="15.75" customHeight="1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3"/>
    </row>
    <row r="139" spans="1:27" ht="15.75" customHeight="1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3"/>
    </row>
    <row r="140" spans="1:27" ht="15.75" customHeight="1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3"/>
    </row>
    <row r="141" spans="1:27" ht="15.75" customHeight="1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3"/>
    </row>
    <row r="142" spans="1:27" ht="15.75" customHeight="1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3"/>
    </row>
    <row r="143" spans="1:27" ht="15.75" customHeight="1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3"/>
    </row>
    <row r="144" spans="1:27" ht="15.75" customHeight="1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3"/>
    </row>
    <row r="145" spans="1:27" ht="15.75" customHeight="1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3"/>
    </row>
    <row r="146" spans="1:27" ht="15.75" customHeight="1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3"/>
    </row>
    <row r="147" spans="1:27" ht="15.75" customHeight="1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3"/>
    </row>
    <row r="148" spans="1:27" ht="15.75" customHeight="1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3"/>
    </row>
    <row r="149" spans="1:27" ht="15.75" customHeight="1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3"/>
    </row>
    <row r="150" spans="1:27" ht="15.75" customHeight="1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3"/>
    </row>
    <row r="151" spans="1:27" ht="15.75" customHeight="1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3"/>
    </row>
    <row r="152" spans="1:27" ht="15.75" customHeight="1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3"/>
    </row>
    <row r="153" spans="1:27" ht="15.75" customHeight="1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3"/>
    </row>
    <row r="154" spans="1:27" ht="15.75" customHeight="1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3"/>
    </row>
    <row r="155" spans="1:27" ht="15.75" customHeight="1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3"/>
    </row>
    <row r="156" spans="1:27" ht="15.75" customHeight="1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3"/>
    </row>
    <row r="157" spans="1:27" ht="15.75" customHeight="1" x14ac:dyDescent="0.3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3"/>
    </row>
    <row r="158" spans="1:27" ht="15.75" customHeight="1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3"/>
    </row>
    <row r="159" spans="1:27" ht="15.75" customHeight="1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3"/>
    </row>
    <row r="160" spans="1:27" ht="15.75" customHeight="1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3"/>
    </row>
    <row r="161" spans="1:27" ht="15.75" customHeight="1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3"/>
    </row>
    <row r="162" spans="1:27" ht="15.75" customHeight="1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3"/>
    </row>
    <row r="163" spans="1:27" ht="15.75" customHeight="1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3"/>
    </row>
    <row r="164" spans="1:27" ht="15.75" customHeight="1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3"/>
    </row>
    <row r="165" spans="1:27" ht="15.75" customHeight="1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3"/>
    </row>
    <row r="166" spans="1:27" ht="15.75" customHeight="1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3"/>
    </row>
    <row r="167" spans="1:27" ht="15.75" customHeight="1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3"/>
    </row>
    <row r="168" spans="1:27" ht="15.75" customHeight="1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3"/>
    </row>
    <row r="169" spans="1:27" ht="15.75" customHeight="1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3"/>
    </row>
    <row r="170" spans="1:27" ht="15.75" customHeight="1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3"/>
    </row>
    <row r="171" spans="1:27" ht="15.75" customHeight="1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3"/>
    </row>
    <row r="172" spans="1:27" ht="15.75" customHeight="1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3"/>
    </row>
    <row r="173" spans="1:27" ht="15.75" customHeight="1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3"/>
    </row>
    <row r="174" spans="1:27" ht="15.75" customHeight="1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3"/>
    </row>
    <row r="175" spans="1:27" ht="15.75" customHeight="1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3"/>
    </row>
    <row r="176" spans="1:27" ht="15.75" customHeight="1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3"/>
    </row>
    <row r="177" spans="1:27" ht="15.75" customHeight="1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3"/>
    </row>
    <row r="178" spans="1:27" ht="15.75" customHeight="1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3"/>
    </row>
    <row r="179" spans="1:27" ht="15.75" customHeight="1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3"/>
    </row>
    <row r="180" spans="1:27" ht="15.75" customHeight="1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3"/>
    </row>
    <row r="181" spans="1:27" ht="15.75" customHeight="1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3"/>
    </row>
    <row r="182" spans="1:27" ht="15.75" customHeight="1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3"/>
    </row>
    <row r="183" spans="1:27" ht="15.75" customHeight="1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3"/>
    </row>
    <row r="184" spans="1:27" ht="15.75" customHeight="1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3"/>
    </row>
    <row r="185" spans="1:27" ht="15.75" customHeight="1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3"/>
    </row>
    <row r="186" spans="1:27" ht="15.75" customHeight="1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3"/>
    </row>
    <row r="187" spans="1:27" ht="15.75" customHeight="1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3"/>
    </row>
    <row r="188" spans="1:27" ht="15.75" customHeight="1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3"/>
    </row>
    <row r="189" spans="1:27" ht="15.75" customHeight="1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3"/>
    </row>
    <row r="190" spans="1:27" ht="15.75" customHeight="1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3"/>
    </row>
    <row r="191" spans="1:27" ht="15.75" customHeight="1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3"/>
    </row>
    <row r="192" spans="1:27" ht="15.75" customHeight="1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3"/>
    </row>
    <row r="193" spans="1:27" ht="15.75" customHeight="1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3"/>
    </row>
    <row r="194" spans="1:27" ht="15.75" customHeight="1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3"/>
    </row>
    <row r="195" spans="1:27" ht="15.75" customHeight="1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3"/>
    </row>
    <row r="196" spans="1:27" ht="15.75" customHeight="1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3"/>
    </row>
    <row r="197" spans="1:27" ht="15.75" customHeight="1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3"/>
    </row>
    <row r="198" spans="1:27" ht="15.75" customHeight="1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3"/>
    </row>
    <row r="199" spans="1:27" ht="15.75" customHeight="1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3"/>
    </row>
    <row r="200" spans="1:27" ht="15.75" customHeight="1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3"/>
    </row>
    <row r="201" spans="1:27" ht="15.75" customHeight="1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3"/>
    </row>
    <row r="202" spans="1:27" ht="15.75" customHeight="1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3"/>
    </row>
    <row r="203" spans="1:27" ht="15.75" customHeight="1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3"/>
    </row>
    <row r="204" spans="1:27" ht="15.75" customHeight="1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3"/>
    </row>
    <row r="205" spans="1:27" ht="15.75" customHeight="1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3"/>
    </row>
    <row r="206" spans="1:27" ht="15.75" customHeight="1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3"/>
    </row>
    <row r="207" spans="1:27" ht="15.75" customHeight="1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3"/>
    </row>
    <row r="208" spans="1:27" ht="15.75" customHeight="1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3"/>
    </row>
    <row r="209" spans="1:27" ht="15.75" customHeight="1" x14ac:dyDescent="0.3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3"/>
    </row>
    <row r="210" spans="1:27" ht="15.75" customHeight="1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3"/>
    </row>
    <row r="211" spans="1:27" ht="15.75" customHeight="1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3"/>
    </row>
    <row r="212" spans="1:27" ht="15.75" customHeight="1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3"/>
    </row>
    <row r="213" spans="1:27" ht="15.75" customHeight="1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3"/>
    </row>
    <row r="214" spans="1:27" ht="15.75" customHeight="1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3"/>
    </row>
    <row r="215" spans="1:27" ht="15.75" customHeight="1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3"/>
    </row>
    <row r="216" spans="1:27" ht="15.75" customHeight="1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3"/>
    </row>
    <row r="217" spans="1:27" ht="15.75" customHeight="1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3"/>
    </row>
    <row r="218" spans="1:27" ht="15.75" customHeight="1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3"/>
    </row>
    <row r="219" spans="1:27" ht="15.75" customHeight="1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3"/>
    </row>
    <row r="220" spans="1:27" ht="15.75" customHeight="1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3"/>
    </row>
    <row r="221" spans="1:27" ht="15.75" customHeight="1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3"/>
    </row>
    <row r="222" spans="1:27" ht="15.75" customHeight="1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3"/>
    </row>
    <row r="223" spans="1:27" ht="15.75" customHeight="1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3"/>
    </row>
    <row r="224" spans="1:27" ht="15.75" customHeight="1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3"/>
    </row>
    <row r="225" spans="1:27" ht="15.75" customHeight="1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3"/>
    </row>
    <row r="226" spans="1:27" ht="15.75" customHeight="1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3"/>
    </row>
    <row r="227" spans="1:27" ht="15.75" customHeight="1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3"/>
    </row>
    <row r="228" spans="1:27" ht="15.75" customHeight="1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3"/>
    </row>
    <row r="229" spans="1:27" ht="15.75" customHeight="1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3"/>
    </row>
    <row r="230" spans="1:27" ht="15.75" customHeight="1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3"/>
    </row>
    <row r="231" spans="1:27" ht="15.75" customHeight="1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3"/>
    </row>
    <row r="232" spans="1:27" ht="15.75" customHeight="1" x14ac:dyDescent="0.3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ht="15.75" customHeight="1" x14ac:dyDescent="0.3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</row>
    <row r="234" spans="1:27" ht="15.75" customHeight="1" x14ac:dyDescent="0.3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</row>
    <row r="235" spans="1:27" ht="15.75" customHeight="1" x14ac:dyDescent="0.3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</row>
    <row r="236" spans="1:27" ht="15.75" customHeight="1" x14ac:dyDescent="0.3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</row>
    <row r="237" spans="1:27" ht="15.75" customHeight="1" x14ac:dyDescent="0.3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</row>
    <row r="238" spans="1:27" ht="15.75" customHeight="1" x14ac:dyDescent="0.3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</row>
    <row r="239" spans="1:27" ht="15.75" customHeight="1" x14ac:dyDescent="0.3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</row>
    <row r="240" spans="1:27" ht="15.75" customHeight="1" x14ac:dyDescent="0.3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</row>
    <row r="241" spans="1:27" ht="15.75" customHeight="1" x14ac:dyDescent="0.3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</row>
    <row r="242" spans="1:27" ht="15.75" customHeight="1" x14ac:dyDescent="0.3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</row>
    <row r="243" spans="1:27" ht="15.75" customHeight="1" x14ac:dyDescent="0.3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</row>
    <row r="244" spans="1:27" ht="15.75" customHeight="1" x14ac:dyDescent="0.3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</row>
    <row r="245" spans="1:27" ht="15.75" customHeight="1" x14ac:dyDescent="0.3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</row>
    <row r="246" spans="1:27" ht="15.75" customHeight="1" x14ac:dyDescent="0.3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</row>
    <row r="247" spans="1:27" ht="15.75" customHeight="1" x14ac:dyDescent="0.3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</row>
    <row r="248" spans="1:27" ht="15.75" customHeight="1" x14ac:dyDescent="0.3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</row>
    <row r="249" spans="1:27" ht="15.75" customHeight="1" x14ac:dyDescent="0.3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</row>
    <row r="250" spans="1:27" ht="15.75" customHeight="1" x14ac:dyDescent="0.3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</row>
    <row r="251" spans="1:27" ht="15.75" customHeight="1" x14ac:dyDescent="0.3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</row>
    <row r="252" spans="1:27" ht="15.75" customHeight="1" x14ac:dyDescent="0.3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</row>
    <row r="253" spans="1:27" ht="15.75" customHeight="1" x14ac:dyDescent="0.3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</row>
    <row r="254" spans="1:27" ht="15.75" customHeight="1" x14ac:dyDescent="0.3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</row>
    <row r="255" spans="1:27" ht="15.75" customHeight="1" x14ac:dyDescent="0.3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</row>
    <row r="256" spans="1:27" ht="15.75" customHeight="1" x14ac:dyDescent="0.3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</row>
    <row r="257" spans="1:27" ht="15.75" customHeight="1" x14ac:dyDescent="0.3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</row>
    <row r="258" spans="1:27" ht="15.75" customHeight="1" x14ac:dyDescent="0.3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</row>
    <row r="259" spans="1:27" ht="15.75" customHeight="1" x14ac:dyDescent="0.3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</row>
    <row r="260" spans="1:27" ht="15.75" customHeight="1" x14ac:dyDescent="0.3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</row>
    <row r="261" spans="1:27" ht="15.75" customHeight="1" x14ac:dyDescent="0.3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</row>
    <row r="262" spans="1:27" ht="15.75" customHeight="1" x14ac:dyDescent="0.3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</row>
    <row r="263" spans="1:27" ht="15.75" customHeight="1" x14ac:dyDescent="0.3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</row>
    <row r="264" spans="1:27" ht="15.75" customHeight="1" x14ac:dyDescent="0.3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</row>
    <row r="265" spans="1:27" ht="15.75" customHeight="1" x14ac:dyDescent="0.3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</row>
    <row r="266" spans="1:27" ht="15.75" customHeight="1" x14ac:dyDescent="0.3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</row>
    <row r="267" spans="1:27" ht="15.75" customHeight="1" x14ac:dyDescent="0.3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</row>
    <row r="268" spans="1:27" ht="15.75" customHeight="1" x14ac:dyDescent="0.3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</row>
    <row r="269" spans="1:27" ht="15.75" customHeight="1" x14ac:dyDescent="0.3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</row>
    <row r="270" spans="1:27" ht="15.75" customHeight="1" x14ac:dyDescent="0.3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</row>
    <row r="271" spans="1:27" ht="15.75" customHeight="1" x14ac:dyDescent="0.3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</row>
    <row r="272" spans="1:27" ht="15.75" customHeight="1" x14ac:dyDescent="0.3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</row>
    <row r="273" spans="1:27" ht="15.75" customHeight="1" x14ac:dyDescent="0.3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</row>
    <row r="274" spans="1:27" ht="15.75" customHeight="1" x14ac:dyDescent="0.3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</row>
    <row r="275" spans="1:27" ht="15.75" customHeight="1" x14ac:dyDescent="0.3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</row>
    <row r="276" spans="1:27" ht="15.75" customHeight="1" x14ac:dyDescent="0.3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</row>
    <row r="277" spans="1:27" ht="15.75" customHeight="1" x14ac:dyDescent="0.3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</row>
    <row r="278" spans="1:27" ht="15.75" customHeight="1" x14ac:dyDescent="0.3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</row>
    <row r="279" spans="1:27" ht="15.75" customHeight="1" x14ac:dyDescent="0.3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</row>
    <row r="280" spans="1:27" ht="15.75" customHeight="1" x14ac:dyDescent="0.3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ht="15.75" customHeight="1" x14ac:dyDescent="0.3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</row>
    <row r="282" spans="1:27" ht="15.75" customHeight="1" x14ac:dyDescent="0.3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</row>
    <row r="283" spans="1:27" ht="15.75" customHeight="1" x14ac:dyDescent="0.3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</row>
    <row r="284" spans="1:27" ht="15.75" customHeight="1" x14ac:dyDescent="0.3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</row>
    <row r="285" spans="1:27" ht="15.75" customHeight="1" x14ac:dyDescent="0.3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</row>
    <row r="286" spans="1:27" ht="15.75" customHeight="1" x14ac:dyDescent="0.3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</row>
    <row r="287" spans="1:27" ht="15.75" customHeight="1" x14ac:dyDescent="0.3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</row>
    <row r="288" spans="1:27" ht="15.75" customHeight="1" x14ac:dyDescent="0.3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</row>
    <row r="289" spans="1:27" ht="15.75" customHeight="1" x14ac:dyDescent="0.3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</row>
    <row r="290" spans="1:27" ht="15.75" customHeight="1" x14ac:dyDescent="0.3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</row>
    <row r="291" spans="1:27" ht="15.75" customHeight="1" x14ac:dyDescent="0.3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</row>
    <row r="292" spans="1:27" ht="15.75" customHeight="1" x14ac:dyDescent="0.3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</row>
    <row r="293" spans="1:27" ht="15.75" customHeight="1" x14ac:dyDescent="0.3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</row>
    <row r="294" spans="1:27" ht="15.75" customHeight="1" x14ac:dyDescent="0.3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</row>
    <row r="295" spans="1:27" ht="15.75" customHeight="1" x14ac:dyDescent="0.3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</row>
    <row r="296" spans="1:27" ht="15.75" customHeight="1" x14ac:dyDescent="0.3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</row>
    <row r="297" spans="1:27" ht="15.75" customHeight="1" x14ac:dyDescent="0.3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</row>
    <row r="298" spans="1:27" ht="15.75" customHeight="1" x14ac:dyDescent="0.3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</row>
    <row r="299" spans="1:27" ht="15.75" customHeight="1" x14ac:dyDescent="0.3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</row>
    <row r="300" spans="1:27" ht="15.75" customHeight="1" x14ac:dyDescent="0.3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</row>
    <row r="301" spans="1:27" ht="15.75" customHeight="1" x14ac:dyDescent="0.3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</row>
    <row r="302" spans="1:27" ht="15.75" customHeight="1" x14ac:dyDescent="0.3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</row>
    <row r="303" spans="1:27" ht="15.75" customHeight="1" x14ac:dyDescent="0.3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</row>
    <row r="304" spans="1:27" ht="15.75" customHeight="1" x14ac:dyDescent="0.3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</row>
    <row r="305" spans="1:27" ht="15.75" customHeight="1" x14ac:dyDescent="0.3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</row>
    <row r="306" spans="1:27" ht="15.75" customHeight="1" x14ac:dyDescent="0.3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</row>
    <row r="307" spans="1:27" ht="15.75" customHeight="1" x14ac:dyDescent="0.3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</row>
    <row r="308" spans="1:27" ht="15.75" customHeight="1" x14ac:dyDescent="0.3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</row>
    <row r="309" spans="1:27" ht="15.75" customHeight="1" x14ac:dyDescent="0.3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</row>
    <row r="310" spans="1:27" ht="15.75" customHeight="1" x14ac:dyDescent="0.3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</row>
    <row r="311" spans="1:27" ht="15.75" customHeight="1" x14ac:dyDescent="0.3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</row>
    <row r="312" spans="1:27" ht="15.75" customHeight="1" x14ac:dyDescent="0.3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</row>
    <row r="313" spans="1:27" ht="15.75" customHeight="1" x14ac:dyDescent="0.3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</row>
    <row r="314" spans="1:27" ht="15.75" customHeight="1" x14ac:dyDescent="0.3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</row>
    <row r="315" spans="1:27" ht="15.75" customHeight="1" x14ac:dyDescent="0.3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</row>
    <row r="316" spans="1:27" ht="15.75" customHeight="1" x14ac:dyDescent="0.3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</row>
    <row r="317" spans="1:27" ht="15.75" customHeight="1" x14ac:dyDescent="0.3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</row>
    <row r="318" spans="1:27" ht="15.75" customHeight="1" x14ac:dyDescent="0.3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</row>
    <row r="319" spans="1:27" ht="15.75" customHeight="1" x14ac:dyDescent="0.3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</row>
    <row r="320" spans="1:27" ht="15.75" customHeight="1" x14ac:dyDescent="0.3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</row>
    <row r="321" spans="1:27" ht="15.75" customHeight="1" x14ac:dyDescent="0.3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</row>
    <row r="322" spans="1:27" ht="15.75" customHeight="1" x14ac:dyDescent="0.3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</row>
    <row r="323" spans="1:27" ht="15.75" customHeight="1" x14ac:dyDescent="0.3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</row>
    <row r="324" spans="1:27" ht="15.75" customHeight="1" x14ac:dyDescent="0.3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</row>
    <row r="325" spans="1:27" ht="15.75" customHeight="1" x14ac:dyDescent="0.3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</row>
    <row r="326" spans="1:27" ht="15.75" customHeight="1" x14ac:dyDescent="0.3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</row>
    <row r="327" spans="1:27" ht="15.75" customHeight="1" x14ac:dyDescent="0.3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</row>
    <row r="328" spans="1:27" ht="15.75" customHeight="1" x14ac:dyDescent="0.3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ht="15.75" customHeight="1" x14ac:dyDescent="0.3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</row>
    <row r="330" spans="1:27" ht="15.75" customHeight="1" x14ac:dyDescent="0.3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</row>
    <row r="331" spans="1:27" ht="15.75" customHeight="1" x14ac:dyDescent="0.3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</row>
    <row r="332" spans="1:27" ht="15.75" customHeight="1" x14ac:dyDescent="0.3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</row>
    <row r="333" spans="1:27" ht="15.75" customHeight="1" x14ac:dyDescent="0.3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</row>
    <row r="334" spans="1:27" ht="15.75" customHeight="1" x14ac:dyDescent="0.3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</row>
    <row r="335" spans="1:27" ht="15.75" customHeight="1" x14ac:dyDescent="0.3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</row>
    <row r="336" spans="1:27" ht="15.75" customHeight="1" x14ac:dyDescent="0.3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</row>
    <row r="337" spans="1:27" ht="15.75" customHeight="1" x14ac:dyDescent="0.3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</row>
    <row r="338" spans="1:27" ht="15.75" customHeight="1" x14ac:dyDescent="0.3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</row>
    <row r="339" spans="1:27" ht="15.75" customHeight="1" x14ac:dyDescent="0.3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</row>
    <row r="340" spans="1:27" ht="15.75" customHeight="1" x14ac:dyDescent="0.3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</row>
    <row r="341" spans="1:27" ht="15.75" customHeight="1" x14ac:dyDescent="0.3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</row>
    <row r="342" spans="1:27" ht="15.75" customHeight="1" x14ac:dyDescent="0.3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</row>
    <row r="343" spans="1:27" ht="15.75" customHeight="1" x14ac:dyDescent="0.3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</row>
    <row r="344" spans="1:27" ht="15.75" customHeight="1" x14ac:dyDescent="0.3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</row>
    <row r="345" spans="1:27" ht="15.75" customHeight="1" x14ac:dyDescent="0.3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</row>
    <row r="346" spans="1:27" ht="15.75" customHeight="1" x14ac:dyDescent="0.3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</row>
    <row r="347" spans="1:27" ht="15.75" customHeight="1" x14ac:dyDescent="0.3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</row>
    <row r="348" spans="1:27" ht="15.75" customHeight="1" x14ac:dyDescent="0.3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</row>
    <row r="349" spans="1:27" ht="15.75" customHeight="1" x14ac:dyDescent="0.3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</row>
    <row r="350" spans="1:27" ht="15.75" customHeight="1" x14ac:dyDescent="0.3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</row>
    <row r="351" spans="1:27" ht="15.75" customHeight="1" x14ac:dyDescent="0.3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</row>
    <row r="352" spans="1:27" ht="15.75" customHeight="1" x14ac:dyDescent="0.3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</row>
    <row r="353" spans="1:27" ht="15.75" customHeight="1" x14ac:dyDescent="0.3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</row>
    <row r="354" spans="1:27" ht="15.75" customHeight="1" x14ac:dyDescent="0.3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</row>
    <row r="355" spans="1:27" ht="15.75" customHeight="1" x14ac:dyDescent="0.3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</row>
    <row r="356" spans="1:27" ht="15.75" customHeight="1" x14ac:dyDescent="0.3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</row>
    <row r="357" spans="1:27" ht="15.75" customHeight="1" x14ac:dyDescent="0.3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</row>
    <row r="358" spans="1:27" ht="15.75" customHeight="1" x14ac:dyDescent="0.3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</row>
    <row r="359" spans="1:27" ht="15.75" customHeight="1" x14ac:dyDescent="0.3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</row>
    <row r="360" spans="1:27" ht="15.75" customHeight="1" x14ac:dyDescent="0.3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</row>
    <row r="361" spans="1:27" ht="15.75" customHeight="1" x14ac:dyDescent="0.3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</row>
    <row r="362" spans="1:27" ht="15.75" customHeight="1" x14ac:dyDescent="0.3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</row>
    <row r="363" spans="1:27" ht="15.75" customHeight="1" x14ac:dyDescent="0.3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</row>
    <row r="364" spans="1:27" ht="15.75" customHeight="1" x14ac:dyDescent="0.3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</row>
    <row r="365" spans="1:27" ht="15.75" customHeight="1" x14ac:dyDescent="0.3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</row>
    <row r="366" spans="1:27" ht="15.75" customHeight="1" x14ac:dyDescent="0.3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</row>
    <row r="367" spans="1:27" ht="15.75" customHeight="1" x14ac:dyDescent="0.3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</row>
    <row r="368" spans="1:27" ht="15.75" customHeight="1" x14ac:dyDescent="0.3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</row>
    <row r="369" spans="1:27" ht="15.75" customHeight="1" x14ac:dyDescent="0.3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</row>
    <row r="370" spans="1:27" ht="15.75" customHeight="1" x14ac:dyDescent="0.3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</row>
    <row r="371" spans="1:27" ht="15.75" customHeight="1" x14ac:dyDescent="0.3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</row>
    <row r="372" spans="1:27" ht="15.75" customHeight="1" x14ac:dyDescent="0.3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</row>
    <row r="373" spans="1:27" ht="15.75" customHeight="1" x14ac:dyDescent="0.3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</row>
    <row r="374" spans="1:27" ht="15.75" customHeight="1" x14ac:dyDescent="0.3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</row>
    <row r="375" spans="1:27" ht="15.75" customHeight="1" x14ac:dyDescent="0.3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</row>
    <row r="376" spans="1:27" ht="15.75" customHeight="1" x14ac:dyDescent="0.3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ht="15.75" customHeight="1" x14ac:dyDescent="0.3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</row>
    <row r="378" spans="1:27" ht="15.75" customHeight="1" x14ac:dyDescent="0.3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</row>
    <row r="379" spans="1:27" ht="15.75" customHeight="1" x14ac:dyDescent="0.3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</row>
    <row r="380" spans="1:27" ht="15.75" customHeight="1" x14ac:dyDescent="0.3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</row>
    <row r="381" spans="1:27" ht="15.75" customHeight="1" x14ac:dyDescent="0.3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</row>
    <row r="382" spans="1:27" ht="15.75" customHeight="1" x14ac:dyDescent="0.3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</row>
    <row r="383" spans="1:27" ht="15.75" customHeight="1" x14ac:dyDescent="0.3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</row>
    <row r="384" spans="1:27" ht="15.75" customHeight="1" x14ac:dyDescent="0.3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</row>
    <row r="385" spans="1:27" ht="15.75" customHeight="1" x14ac:dyDescent="0.3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</row>
    <row r="386" spans="1:27" ht="15.75" customHeight="1" x14ac:dyDescent="0.3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</row>
    <row r="387" spans="1:27" ht="15.75" customHeight="1" x14ac:dyDescent="0.3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</row>
    <row r="388" spans="1:27" ht="15.75" customHeight="1" x14ac:dyDescent="0.3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</row>
    <row r="389" spans="1:27" ht="15.75" customHeight="1" x14ac:dyDescent="0.3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</row>
    <row r="390" spans="1:27" ht="15.75" customHeight="1" x14ac:dyDescent="0.3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</row>
    <row r="391" spans="1:27" ht="15.75" customHeight="1" x14ac:dyDescent="0.3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</row>
    <row r="392" spans="1:27" ht="15.75" customHeight="1" x14ac:dyDescent="0.3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</row>
    <row r="393" spans="1:27" ht="15.75" customHeight="1" x14ac:dyDescent="0.3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</row>
    <row r="394" spans="1:27" ht="15.75" customHeight="1" x14ac:dyDescent="0.3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</row>
    <row r="395" spans="1:27" ht="15.75" customHeight="1" x14ac:dyDescent="0.3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</row>
    <row r="396" spans="1:27" ht="15.75" customHeight="1" x14ac:dyDescent="0.3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</row>
    <row r="397" spans="1:27" ht="15.75" customHeight="1" x14ac:dyDescent="0.3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</row>
    <row r="398" spans="1:27" ht="15.75" customHeight="1" x14ac:dyDescent="0.3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</row>
    <row r="399" spans="1:27" ht="15.75" customHeight="1" x14ac:dyDescent="0.3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</row>
    <row r="400" spans="1:27" ht="15.75" customHeight="1" x14ac:dyDescent="0.3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</row>
    <row r="401" spans="1:27" ht="15.75" customHeight="1" x14ac:dyDescent="0.3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</row>
    <row r="402" spans="1:27" ht="15.75" customHeight="1" x14ac:dyDescent="0.3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</row>
    <row r="403" spans="1:27" ht="15.75" customHeight="1" x14ac:dyDescent="0.3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</row>
    <row r="404" spans="1:27" ht="15.75" customHeight="1" x14ac:dyDescent="0.3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</row>
    <row r="405" spans="1:27" ht="15.75" customHeight="1" x14ac:dyDescent="0.3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</row>
    <row r="406" spans="1:27" ht="15.75" customHeight="1" x14ac:dyDescent="0.3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</row>
    <row r="407" spans="1:27" ht="15.75" customHeight="1" x14ac:dyDescent="0.3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</row>
    <row r="408" spans="1:27" ht="15.75" customHeight="1" x14ac:dyDescent="0.3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</row>
    <row r="409" spans="1:27" ht="15.75" customHeight="1" x14ac:dyDescent="0.3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</row>
    <row r="410" spans="1:27" ht="15.75" customHeight="1" x14ac:dyDescent="0.3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</row>
    <row r="411" spans="1:27" ht="15.75" customHeight="1" x14ac:dyDescent="0.3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</row>
    <row r="412" spans="1:27" ht="15.75" customHeight="1" x14ac:dyDescent="0.3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</row>
    <row r="413" spans="1:27" ht="15.75" customHeight="1" x14ac:dyDescent="0.3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</row>
    <row r="414" spans="1:27" ht="15.75" customHeight="1" x14ac:dyDescent="0.3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</row>
    <row r="415" spans="1:27" ht="15.75" customHeight="1" x14ac:dyDescent="0.3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</row>
    <row r="416" spans="1:27" ht="15.75" customHeight="1" x14ac:dyDescent="0.3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</row>
    <row r="417" spans="1:27" ht="15.75" customHeight="1" x14ac:dyDescent="0.3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</row>
    <row r="418" spans="1:27" ht="15.75" customHeight="1" x14ac:dyDescent="0.3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</row>
    <row r="419" spans="1:27" ht="15.75" customHeight="1" x14ac:dyDescent="0.3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</row>
    <row r="420" spans="1:27" ht="15.75" customHeight="1" x14ac:dyDescent="0.3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</row>
    <row r="421" spans="1:27" ht="15.75" customHeight="1" x14ac:dyDescent="0.3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</row>
    <row r="422" spans="1:27" ht="15.75" customHeight="1" x14ac:dyDescent="0.3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</row>
    <row r="423" spans="1:27" ht="15.75" customHeight="1" x14ac:dyDescent="0.3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</row>
    <row r="424" spans="1:27" ht="15.75" customHeight="1" x14ac:dyDescent="0.3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ht="15.75" customHeight="1" x14ac:dyDescent="0.3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</row>
    <row r="426" spans="1:27" ht="15.75" customHeight="1" x14ac:dyDescent="0.3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</row>
    <row r="427" spans="1:27" ht="15.75" customHeight="1" x14ac:dyDescent="0.3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</row>
    <row r="428" spans="1:27" ht="15.75" customHeight="1" x14ac:dyDescent="0.3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</row>
    <row r="429" spans="1:27" ht="15.75" customHeight="1" x14ac:dyDescent="0.3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</row>
    <row r="430" spans="1:27" ht="15.75" customHeight="1" x14ac:dyDescent="0.3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</row>
    <row r="431" spans="1:27" ht="15.75" customHeight="1" x14ac:dyDescent="0.3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</row>
    <row r="432" spans="1:27" ht="15.75" customHeight="1" x14ac:dyDescent="0.3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</row>
    <row r="433" spans="1:27" ht="15.75" customHeight="1" x14ac:dyDescent="0.3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</row>
    <row r="434" spans="1:27" ht="15.75" customHeight="1" x14ac:dyDescent="0.3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</row>
    <row r="435" spans="1:27" ht="15.75" customHeight="1" x14ac:dyDescent="0.3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</row>
    <row r="436" spans="1:27" ht="15.75" customHeight="1" x14ac:dyDescent="0.3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</row>
    <row r="437" spans="1:27" ht="15.75" customHeight="1" x14ac:dyDescent="0.3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</row>
    <row r="438" spans="1:27" ht="15.75" customHeight="1" x14ac:dyDescent="0.3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</row>
    <row r="439" spans="1:27" ht="15.75" customHeight="1" x14ac:dyDescent="0.3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</row>
    <row r="440" spans="1:27" ht="15.75" customHeight="1" x14ac:dyDescent="0.3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</row>
    <row r="441" spans="1:27" ht="15.75" customHeight="1" x14ac:dyDescent="0.3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</row>
    <row r="442" spans="1:27" ht="15.75" customHeight="1" x14ac:dyDescent="0.3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</row>
    <row r="443" spans="1:27" ht="15.75" customHeight="1" x14ac:dyDescent="0.3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</row>
    <row r="444" spans="1:27" ht="15.75" customHeight="1" x14ac:dyDescent="0.3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</row>
    <row r="445" spans="1:27" ht="15.75" customHeight="1" x14ac:dyDescent="0.3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</row>
    <row r="446" spans="1:27" ht="15.75" customHeight="1" x14ac:dyDescent="0.3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</row>
    <row r="447" spans="1:27" ht="15.75" customHeight="1" x14ac:dyDescent="0.3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</row>
    <row r="448" spans="1:27" ht="15.75" customHeight="1" x14ac:dyDescent="0.3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</row>
    <row r="449" spans="1:27" ht="15.75" customHeight="1" x14ac:dyDescent="0.3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</row>
    <row r="450" spans="1:27" ht="15.75" customHeight="1" x14ac:dyDescent="0.3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</row>
    <row r="451" spans="1:27" ht="15.75" customHeight="1" x14ac:dyDescent="0.3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</row>
    <row r="452" spans="1:27" ht="15.75" customHeight="1" x14ac:dyDescent="0.3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</row>
    <row r="453" spans="1:27" ht="15.75" customHeight="1" x14ac:dyDescent="0.3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</row>
    <row r="454" spans="1:27" ht="15.75" customHeight="1" x14ac:dyDescent="0.3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</row>
    <row r="455" spans="1:27" ht="15.75" customHeight="1" x14ac:dyDescent="0.3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</row>
    <row r="456" spans="1:27" ht="15.75" customHeight="1" x14ac:dyDescent="0.3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</row>
    <row r="457" spans="1:27" ht="15.75" customHeight="1" x14ac:dyDescent="0.3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</row>
    <row r="458" spans="1:27" ht="15.75" customHeight="1" x14ac:dyDescent="0.3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</row>
    <row r="459" spans="1:27" ht="15.75" customHeight="1" x14ac:dyDescent="0.3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</row>
    <row r="460" spans="1:27" ht="15.75" customHeight="1" x14ac:dyDescent="0.3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</row>
    <row r="461" spans="1:27" ht="15.75" customHeight="1" x14ac:dyDescent="0.3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</row>
    <row r="462" spans="1:27" ht="15.75" customHeight="1" x14ac:dyDescent="0.3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</row>
    <row r="463" spans="1:27" ht="15.75" customHeight="1" x14ac:dyDescent="0.3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</row>
    <row r="464" spans="1:27" ht="15.75" customHeight="1" x14ac:dyDescent="0.3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</row>
    <row r="465" spans="1:27" ht="15.75" customHeight="1" x14ac:dyDescent="0.3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</row>
    <row r="466" spans="1:27" ht="15.75" customHeight="1" x14ac:dyDescent="0.3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</row>
    <row r="467" spans="1:27" ht="15.75" customHeight="1" x14ac:dyDescent="0.3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</row>
    <row r="468" spans="1:27" ht="15.75" customHeight="1" x14ac:dyDescent="0.3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</row>
    <row r="469" spans="1:27" ht="15.75" customHeight="1" x14ac:dyDescent="0.3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</row>
    <row r="470" spans="1:27" ht="15.75" customHeight="1" x14ac:dyDescent="0.3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</row>
    <row r="471" spans="1:27" ht="15.75" customHeight="1" x14ac:dyDescent="0.3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</row>
    <row r="472" spans="1:27" ht="15.75" customHeight="1" x14ac:dyDescent="0.3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</row>
    <row r="473" spans="1:27" ht="15.75" customHeight="1" x14ac:dyDescent="0.3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</row>
    <row r="474" spans="1:27" ht="15.75" customHeight="1" x14ac:dyDescent="0.3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</row>
    <row r="475" spans="1:27" ht="15.75" customHeight="1" x14ac:dyDescent="0.3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</row>
    <row r="476" spans="1:27" ht="15.75" customHeight="1" x14ac:dyDescent="0.3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</row>
    <row r="477" spans="1:27" ht="15.75" customHeight="1" x14ac:dyDescent="0.3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</row>
    <row r="478" spans="1:27" ht="15.75" customHeight="1" x14ac:dyDescent="0.3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</row>
    <row r="479" spans="1:27" ht="15.75" customHeight="1" x14ac:dyDescent="0.3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</row>
    <row r="480" spans="1:27" ht="15.75" customHeight="1" x14ac:dyDescent="0.3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</row>
    <row r="481" spans="1:27" ht="15.75" customHeight="1" x14ac:dyDescent="0.3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</row>
    <row r="482" spans="1:27" ht="15.75" customHeight="1" x14ac:dyDescent="0.3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</row>
    <row r="483" spans="1:27" ht="15.75" customHeight="1" x14ac:dyDescent="0.3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</row>
    <row r="484" spans="1:27" ht="15.75" customHeight="1" x14ac:dyDescent="0.3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</row>
    <row r="485" spans="1:27" ht="15.75" customHeight="1" x14ac:dyDescent="0.3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</row>
    <row r="486" spans="1:27" ht="15.75" customHeight="1" x14ac:dyDescent="0.3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</row>
    <row r="487" spans="1:27" ht="15.75" customHeight="1" x14ac:dyDescent="0.3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</row>
    <row r="488" spans="1:27" ht="15.75" customHeight="1" x14ac:dyDescent="0.3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</row>
    <row r="489" spans="1:27" ht="15.75" customHeight="1" x14ac:dyDescent="0.3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</row>
    <row r="490" spans="1:27" ht="15.75" customHeight="1" x14ac:dyDescent="0.3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</row>
    <row r="491" spans="1:27" ht="15.75" customHeight="1" x14ac:dyDescent="0.3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</row>
    <row r="492" spans="1:27" ht="15.75" customHeight="1" x14ac:dyDescent="0.3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</row>
    <row r="493" spans="1:27" ht="15.75" customHeight="1" x14ac:dyDescent="0.3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</row>
    <row r="494" spans="1:27" ht="15.75" customHeight="1" x14ac:dyDescent="0.3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</row>
    <row r="495" spans="1:27" ht="15.75" customHeight="1" x14ac:dyDescent="0.3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</row>
    <row r="496" spans="1:27" ht="15.75" customHeight="1" x14ac:dyDescent="0.3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</row>
    <row r="497" spans="1:27" ht="15.75" customHeight="1" x14ac:dyDescent="0.3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</row>
    <row r="498" spans="1:27" ht="15.75" customHeight="1" x14ac:dyDescent="0.3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</row>
    <row r="499" spans="1:27" ht="15.75" customHeight="1" x14ac:dyDescent="0.3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</row>
    <row r="500" spans="1:27" ht="15.75" customHeight="1" x14ac:dyDescent="0.3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</row>
    <row r="501" spans="1:27" ht="15.75" customHeight="1" x14ac:dyDescent="0.3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</row>
    <row r="502" spans="1:27" ht="15.75" customHeight="1" x14ac:dyDescent="0.3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</row>
    <row r="503" spans="1:27" ht="15.75" customHeight="1" x14ac:dyDescent="0.3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</row>
    <row r="504" spans="1:27" ht="15.75" customHeight="1" x14ac:dyDescent="0.3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</row>
    <row r="505" spans="1:27" ht="15.75" customHeight="1" x14ac:dyDescent="0.3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</row>
    <row r="506" spans="1:27" ht="15.75" customHeight="1" x14ac:dyDescent="0.3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</row>
    <row r="507" spans="1:27" ht="15.75" customHeight="1" x14ac:dyDescent="0.3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</row>
    <row r="508" spans="1:27" ht="15.75" customHeight="1" x14ac:dyDescent="0.3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</row>
    <row r="509" spans="1:27" ht="15.75" customHeight="1" x14ac:dyDescent="0.3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</row>
    <row r="510" spans="1:27" ht="15.75" customHeight="1" x14ac:dyDescent="0.3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</row>
    <row r="511" spans="1:27" ht="15.75" customHeight="1" x14ac:dyDescent="0.3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</row>
    <row r="512" spans="1:27" ht="15.75" customHeight="1" x14ac:dyDescent="0.3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</row>
    <row r="513" spans="1:27" ht="15.75" customHeight="1" x14ac:dyDescent="0.3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</row>
    <row r="514" spans="1:27" ht="15.75" customHeight="1" x14ac:dyDescent="0.3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</row>
    <row r="515" spans="1:27" ht="15.75" customHeight="1" x14ac:dyDescent="0.3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</row>
    <row r="516" spans="1:27" ht="15.75" customHeight="1" x14ac:dyDescent="0.3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</row>
    <row r="517" spans="1:27" ht="15.75" customHeight="1" x14ac:dyDescent="0.3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</row>
    <row r="518" spans="1:27" ht="15.75" customHeight="1" x14ac:dyDescent="0.3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</row>
    <row r="519" spans="1:27" ht="15.75" customHeight="1" x14ac:dyDescent="0.3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</row>
    <row r="520" spans="1:27" ht="15.75" customHeight="1" x14ac:dyDescent="0.3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</row>
    <row r="521" spans="1:27" ht="15.75" customHeight="1" x14ac:dyDescent="0.3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</row>
    <row r="522" spans="1:27" ht="15.75" customHeight="1" x14ac:dyDescent="0.3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</row>
    <row r="523" spans="1:27" ht="15.75" customHeight="1" x14ac:dyDescent="0.3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</row>
    <row r="524" spans="1:27" ht="15.75" customHeight="1" x14ac:dyDescent="0.3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</row>
    <row r="525" spans="1:27" ht="15.75" customHeight="1" x14ac:dyDescent="0.3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</row>
    <row r="526" spans="1:27" ht="15.75" customHeight="1" x14ac:dyDescent="0.3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</row>
    <row r="527" spans="1:27" ht="15.75" customHeight="1" x14ac:dyDescent="0.3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</row>
    <row r="528" spans="1:27" ht="15.75" customHeight="1" x14ac:dyDescent="0.3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</row>
    <row r="529" spans="1:27" ht="15.75" customHeight="1" x14ac:dyDescent="0.3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</row>
    <row r="530" spans="1:27" ht="15.75" customHeight="1" x14ac:dyDescent="0.3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</row>
    <row r="531" spans="1:27" ht="15.75" customHeight="1" x14ac:dyDescent="0.3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</row>
    <row r="532" spans="1:27" ht="15.75" customHeight="1" x14ac:dyDescent="0.3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</row>
    <row r="533" spans="1:27" ht="15.75" customHeight="1" x14ac:dyDescent="0.3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</row>
    <row r="534" spans="1:27" ht="15.75" customHeight="1" x14ac:dyDescent="0.3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</row>
    <row r="535" spans="1:27" ht="15.75" customHeight="1" x14ac:dyDescent="0.3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</row>
    <row r="536" spans="1:27" ht="15.75" customHeight="1" x14ac:dyDescent="0.3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</row>
    <row r="537" spans="1:27" ht="15.75" customHeight="1" x14ac:dyDescent="0.3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</row>
    <row r="538" spans="1:27" ht="15.75" customHeight="1" x14ac:dyDescent="0.3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</row>
    <row r="539" spans="1:27" ht="15.75" customHeight="1" x14ac:dyDescent="0.3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</row>
    <row r="540" spans="1:27" ht="15.75" customHeight="1" x14ac:dyDescent="0.3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</row>
    <row r="541" spans="1:27" ht="15.75" customHeight="1" x14ac:dyDescent="0.3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</row>
    <row r="542" spans="1:27" ht="15.75" customHeight="1" x14ac:dyDescent="0.3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</row>
    <row r="543" spans="1:27" ht="15.75" customHeight="1" x14ac:dyDescent="0.3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</row>
    <row r="544" spans="1:27" ht="15.75" customHeight="1" x14ac:dyDescent="0.3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</row>
    <row r="545" spans="1:27" ht="15.75" customHeight="1" x14ac:dyDescent="0.3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</row>
    <row r="546" spans="1:27" ht="15.75" customHeight="1" x14ac:dyDescent="0.3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</row>
    <row r="547" spans="1:27" ht="15.75" customHeight="1" x14ac:dyDescent="0.3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</row>
    <row r="548" spans="1:27" ht="15.75" customHeight="1" x14ac:dyDescent="0.3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</row>
    <row r="549" spans="1:27" ht="15.75" customHeight="1" x14ac:dyDescent="0.3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</row>
    <row r="550" spans="1:27" ht="15.75" customHeight="1" x14ac:dyDescent="0.3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</row>
    <row r="551" spans="1:27" ht="15.75" customHeight="1" x14ac:dyDescent="0.3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</row>
    <row r="552" spans="1:27" ht="15.75" customHeight="1" x14ac:dyDescent="0.3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</row>
    <row r="553" spans="1:27" ht="15.75" customHeight="1" x14ac:dyDescent="0.3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</row>
    <row r="554" spans="1:27" ht="15.75" customHeight="1" x14ac:dyDescent="0.3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</row>
    <row r="555" spans="1:27" ht="15.75" customHeight="1" x14ac:dyDescent="0.3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</row>
    <row r="556" spans="1:27" ht="15.75" customHeight="1" x14ac:dyDescent="0.3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</row>
    <row r="557" spans="1:27" ht="15.75" customHeight="1" x14ac:dyDescent="0.3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</row>
    <row r="558" spans="1:27" ht="15.75" customHeight="1" x14ac:dyDescent="0.3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</row>
    <row r="559" spans="1:27" ht="15.75" customHeight="1" x14ac:dyDescent="0.3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</row>
    <row r="560" spans="1:27" ht="15.75" customHeight="1" x14ac:dyDescent="0.3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</row>
    <row r="561" spans="1:27" ht="15.75" customHeight="1" x14ac:dyDescent="0.3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</row>
    <row r="562" spans="1:27" ht="15.75" customHeight="1" x14ac:dyDescent="0.3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</row>
    <row r="563" spans="1:27" ht="15.75" customHeight="1" x14ac:dyDescent="0.3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</row>
    <row r="564" spans="1:27" ht="15.75" customHeight="1" x14ac:dyDescent="0.3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</row>
    <row r="565" spans="1:27" ht="15.75" customHeight="1" x14ac:dyDescent="0.3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</row>
    <row r="566" spans="1:27" ht="15.75" customHeight="1" x14ac:dyDescent="0.3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</row>
    <row r="567" spans="1:27" ht="15.75" customHeight="1" x14ac:dyDescent="0.3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</row>
    <row r="568" spans="1:27" ht="15.75" customHeight="1" x14ac:dyDescent="0.3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</row>
    <row r="569" spans="1:27" ht="15.75" customHeight="1" x14ac:dyDescent="0.3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</row>
    <row r="570" spans="1:27" ht="15.75" customHeight="1" x14ac:dyDescent="0.3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</row>
    <row r="571" spans="1:27" ht="15.75" customHeight="1" x14ac:dyDescent="0.3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</row>
    <row r="572" spans="1:27" ht="15.75" customHeight="1" x14ac:dyDescent="0.3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</row>
    <row r="573" spans="1:27" ht="15.75" customHeight="1" x14ac:dyDescent="0.3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</row>
    <row r="574" spans="1:27" ht="15.75" customHeight="1" x14ac:dyDescent="0.3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</row>
    <row r="575" spans="1:27" ht="15.75" customHeight="1" x14ac:dyDescent="0.3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</row>
    <row r="576" spans="1:27" ht="15.75" customHeight="1" x14ac:dyDescent="0.3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</row>
    <row r="577" spans="1:27" ht="15.75" customHeight="1" x14ac:dyDescent="0.3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</row>
    <row r="578" spans="1:27" ht="15.75" customHeight="1" x14ac:dyDescent="0.3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</row>
    <row r="579" spans="1:27" ht="15.75" customHeight="1" x14ac:dyDescent="0.3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</row>
    <row r="580" spans="1:27" ht="15.75" customHeight="1" x14ac:dyDescent="0.3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</row>
    <row r="581" spans="1:27" ht="15.75" customHeight="1" x14ac:dyDescent="0.3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</row>
    <row r="582" spans="1:27" ht="15.75" customHeight="1" x14ac:dyDescent="0.3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</row>
    <row r="583" spans="1:27" ht="15.75" customHeight="1" x14ac:dyDescent="0.3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</row>
    <row r="584" spans="1:27" ht="15.75" customHeight="1" x14ac:dyDescent="0.3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</row>
    <row r="585" spans="1:27" ht="15.75" customHeight="1" x14ac:dyDescent="0.3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</row>
    <row r="586" spans="1:27" ht="15.75" customHeight="1" x14ac:dyDescent="0.3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</row>
    <row r="587" spans="1:27" ht="15.75" customHeight="1" x14ac:dyDescent="0.3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</row>
    <row r="588" spans="1:27" ht="15.75" customHeight="1" x14ac:dyDescent="0.3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</row>
    <row r="589" spans="1:27" ht="15.75" customHeight="1" x14ac:dyDescent="0.3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</row>
    <row r="590" spans="1:27" ht="15.75" customHeight="1" x14ac:dyDescent="0.3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</row>
    <row r="591" spans="1:27" ht="15.75" customHeight="1" x14ac:dyDescent="0.3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</row>
    <row r="592" spans="1:27" ht="15.75" customHeight="1" x14ac:dyDescent="0.3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</row>
    <row r="593" spans="1:27" ht="15.75" customHeight="1" x14ac:dyDescent="0.3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</row>
    <row r="594" spans="1:27" ht="15.75" customHeight="1" x14ac:dyDescent="0.3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</row>
    <row r="595" spans="1:27" ht="15.75" customHeight="1" x14ac:dyDescent="0.3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</row>
    <row r="596" spans="1:27" ht="15.75" customHeight="1" x14ac:dyDescent="0.3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</row>
    <row r="597" spans="1:27" ht="15.75" customHeight="1" x14ac:dyDescent="0.3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</row>
    <row r="598" spans="1:27" ht="15.75" customHeight="1" x14ac:dyDescent="0.3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</row>
    <row r="599" spans="1:27" ht="15.75" customHeight="1" x14ac:dyDescent="0.3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</row>
    <row r="600" spans="1:27" ht="15.75" customHeight="1" x14ac:dyDescent="0.3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</row>
    <row r="601" spans="1:27" ht="15.75" customHeight="1" x14ac:dyDescent="0.3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</row>
    <row r="602" spans="1:27" ht="15.75" customHeight="1" x14ac:dyDescent="0.3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</row>
    <row r="603" spans="1:27" ht="15.75" customHeight="1" x14ac:dyDescent="0.3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</row>
    <row r="604" spans="1:27" ht="15.75" customHeight="1" x14ac:dyDescent="0.3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</row>
    <row r="605" spans="1:27" ht="15.75" customHeight="1" x14ac:dyDescent="0.3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</row>
    <row r="606" spans="1:27" ht="15.75" customHeight="1" x14ac:dyDescent="0.3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</row>
    <row r="607" spans="1:27" ht="15.75" customHeight="1" x14ac:dyDescent="0.3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</row>
    <row r="608" spans="1:27" ht="15.75" customHeight="1" x14ac:dyDescent="0.3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</row>
    <row r="609" spans="1:27" ht="15.75" customHeight="1" x14ac:dyDescent="0.3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</row>
    <row r="610" spans="1:27" ht="15.75" customHeight="1" x14ac:dyDescent="0.3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</row>
    <row r="611" spans="1:27" ht="15.75" customHeight="1" x14ac:dyDescent="0.3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</row>
    <row r="612" spans="1:27" ht="15.75" customHeight="1" x14ac:dyDescent="0.3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</row>
    <row r="613" spans="1:27" ht="15.75" customHeight="1" x14ac:dyDescent="0.3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</row>
    <row r="614" spans="1:27" ht="15.75" customHeight="1" x14ac:dyDescent="0.3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</row>
    <row r="615" spans="1:27" ht="15.75" customHeight="1" x14ac:dyDescent="0.3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</row>
    <row r="616" spans="1:27" ht="15.75" customHeight="1" x14ac:dyDescent="0.3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</row>
    <row r="617" spans="1:27" ht="15.75" customHeight="1" x14ac:dyDescent="0.3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</row>
    <row r="618" spans="1:27" ht="15.75" customHeight="1" x14ac:dyDescent="0.3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</row>
    <row r="619" spans="1:27" ht="15.75" customHeight="1" x14ac:dyDescent="0.3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</row>
    <row r="620" spans="1:27" ht="15.75" customHeight="1" x14ac:dyDescent="0.3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</row>
    <row r="621" spans="1:27" ht="15.75" customHeight="1" x14ac:dyDescent="0.3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</row>
    <row r="622" spans="1:27" ht="15.75" customHeight="1" x14ac:dyDescent="0.3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</row>
    <row r="623" spans="1:27" ht="15.75" customHeight="1" x14ac:dyDescent="0.3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</row>
    <row r="624" spans="1:27" ht="15.75" customHeight="1" x14ac:dyDescent="0.3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</row>
    <row r="625" spans="1:27" ht="15.75" customHeight="1" x14ac:dyDescent="0.3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</row>
    <row r="626" spans="1:27" ht="15.75" customHeight="1" x14ac:dyDescent="0.3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</row>
    <row r="627" spans="1:27" ht="15.75" customHeight="1" x14ac:dyDescent="0.3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</row>
    <row r="628" spans="1:27" ht="15.75" customHeight="1" x14ac:dyDescent="0.3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</row>
    <row r="629" spans="1:27" ht="15.75" customHeight="1" x14ac:dyDescent="0.3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</row>
    <row r="630" spans="1:27" ht="15.75" customHeight="1" x14ac:dyDescent="0.3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</row>
    <row r="631" spans="1:27" ht="15.75" customHeight="1" x14ac:dyDescent="0.3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</row>
    <row r="632" spans="1:27" ht="15.75" customHeight="1" x14ac:dyDescent="0.3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</row>
    <row r="633" spans="1:27" ht="15.75" customHeight="1" x14ac:dyDescent="0.3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</row>
    <row r="634" spans="1:27" ht="15.75" customHeight="1" x14ac:dyDescent="0.3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</row>
    <row r="635" spans="1:27" ht="15.75" customHeight="1" x14ac:dyDescent="0.3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</row>
    <row r="636" spans="1:27" ht="15.75" customHeight="1" x14ac:dyDescent="0.3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</row>
    <row r="637" spans="1:27" ht="15.75" customHeight="1" x14ac:dyDescent="0.3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</row>
    <row r="638" spans="1:27" ht="15.75" customHeight="1" x14ac:dyDescent="0.3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</row>
    <row r="639" spans="1:27" ht="15.75" customHeight="1" x14ac:dyDescent="0.3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</row>
    <row r="640" spans="1:27" ht="15.75" customHeight="1" x14ac:dyDescent="0.3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</row>
    <row r="641" spans="1:27" ht="15.75" customHeight="1" x14ac:dyDescent="0.3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</row>
    <row r="642" spans="1:27" ht="15.75" customHeight="1" x14ac:dyDescent="0.3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</row>
    <row r="643" spans="1:27" ht="15.75" customHeight="1" x14ac:dyDescent="0.3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</row>
    <row r="644" spans="1:27" ht="15.75" customHeight="1" x14ac:dyDescent="0.3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</row>
    <row r="645" spans="1:27" ht="15.75" customHeight="1" x14ac:dyDescent="0.3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</row>
    <row r="646" spans="1:27" ht="15.75" customHeight="1" x14ac:dyDescent="0.3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</row>
    <row r="647" spans="1:27" ht="15.75" customHeight="1" x14ac:dyDescent="0.3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</row>
    <row r="648" spans="1:27" ht="15.75" customHeight="1" x14ac:dyDescent="0.3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</row>
    <row r="649" spans="1:27" ht="15.75" customHeight="1" x14ac:dyDescent="0.3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</row>
    <row r="650" spans="1:27" ht="15.75" customHeight="1" x14ac:dyDescent="0.3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</row>
    <row r="651" spans="1:27" ht="15.75" customHeight="1" x14ac:dyDescent="0.3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</row>
    <row r="652" spans="1:27" ht="15.75" customHeight="1" x14ac:dyDescent="0.3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</row>
    <row r="653" spans="1:27" ht="15.75" customHeight="1" x14ac:dyDescent="0.3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</row>
    <row r="654" spans="1:27" ht="15.75" customHeight="1" x14ac:dyDescent="0.3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</row>
    <row r="655" spans="1:27" ht="15.75" customHeight="1" x14ac:dyDescent="0.3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</row>
    <row r="656" spans="1:27" ht="15.75" customHeight="1" x14ac:dyDescent="0.3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</row>
    <row r="657" spans="1:27" ht="15.75" customHeight="1" x14ac:dyDescent="0.3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</row>
    <row r="658" spans="1:27" ht="15.75" customHeight="1" x14ac:dyDescent="0.3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</row>
    <row r="659" spans="1:27" ht="15.75" customHeight="1" x14ac:dyDescent="0.3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</row>
    <row r="660" spans="1:27" ht="15.75" customHeight="1" x14ac:dyDescent="0.3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</row>
    <row r="661" spans="1:27" ht="15.75" customHeight="1" x14ac:dyDescent="0.3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</row>
    <row r="662" spans="1:27" ht="15.75" customHeight="1" x14ac:dyDescent="0.3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</row>
    <row r="663" spans="1:27" ht="15.75" customHeight="1" x14ac:dyDescent="0.3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</row>
    <row r="664" spans="1:27" ht="15.75" customHeight="1" x14ac:dyDescent="0.3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</row>
    <row r="665" spans="1:27" ht="15.75" customHeight="1" x14ac:dyDescent="0.3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</row>
    <row r="666" spans="1:27" ht="15.75" customHeight="1" x14ac:dyDescent="0.3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</row>
    <row r="667" spans="1:27" ht="15.75" customHeight="1" x14ac:dyDescent="0.3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</row>
    <row r="668" spans="1:27" ht="15.75" customHeight="1" x14ac:dyDescent="0.3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</row>
    <row r="669" spans="1:27" ht="15.75" customHeight="1" x14ac:dyDescent="0.3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</row>
    <row r="670" spans="1:27" ht="15.75" customHeight="1" x14ac:dyDescent="0.3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</row>
    <row r="671" spans="1:27" ht="15.75" customHeight="1" x14ac:dyDescent="0.3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</row>
    <row r="672" spans="1:27" ht="15.75" customHeight="1" x14ac:dyDescent="0.3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</row>
    <row r="673" spans="1:27" ht="15.75" customHeight="1" x14ac:dyDescent="0.3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</row>
    <row r="674" spans="1:27" ht="15.75" customHeight="1" x14ac:dyDescent="0.3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</row>
    <row r="675" spans="1:27" ht="15.75" customHeight="1" x14ac:dyDescent="0.3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</row>
    <row r="676" spans="1:27" ht="15.75" customHeight="1" x14ac:dyDescent="0.3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</row>
    <row r="677" spans="1:27" ht="15.75" customHeight="1" x14ac:dyDescent="0.3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</row>
    <row r="678" spans="1:27" ht="15.75" customHeight="1" x14ac:dyDescent="0.3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</row>
    <row r="679" spans="1:27" ht="15.75" customHeight="1" x14ac:dyDescent="0.3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</row>
    <row r="680" spans="1:27" ht="15.75" customHeight="1" x14ac:dyDescent="0.3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</row>
    <row r="681" spans="1:27" ht="15.75" customHeight="1" x14ac:dyDescent="0.3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</row>
    <row r="682" spans="1:27" ht="15.75" customHeight="1" x14ac:dyDescent="0.3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</row>
    <row r="683" spans="1:27" ht="15.75" customHeight="1" x14ac:dyDescent="0.3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</row>
    <row r="684" spans="1:27" ht="15.75" customHeight="1" x14ac:dyDescent="0.3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</row>
    <row r="685" spans="1:27" ht="15.75" customHeight="1" x14ac:dyDescent="0.3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</row>
    <row r="686" spans="1:27" ht="15.75" customHeight="1" x14ac:dyDescent="0.3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</row>
    <row r="687" spans="1:27" ht="15.75" customHeight="1" x14ac:dyDescent="0.3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</row>
    <row r="688" spans="1:27" ht="15.75" customHeight="1" x14ac:dyDescent="0.3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</row>
    <row r="689" spans="1:27" ht="15.75" customHeight="1" x14ac:dyDescent="0.3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</row>
    <row r="690" spans="1:27" ht="15.75" customHeight="1" x14ac:dyDescent="0.3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</row>
    <row r="691" spans="1:27" ht="15.75" customHeight="1" x14ac:dyDescent="0.3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</row>
    <row r="692" spans="1:27" ht="15.75" customHeight="1" x14ac:dyDescent="0.3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</row>
    <row r="693" spans="1:27" ht="15.75" customHeight="1" x14ac:dyDescent="0.3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</row>
    <row r="694" spans="1:27" ht="15.75" customHeight="1" x14ac:dyDescent="0.3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</row>
    <row r="695" spans="1:27" ht="15.75" customHeight="1" x14ac:dyDescent="0.3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</row>
    <row r="696" spans="1:27" ht="15.75" customHeight="1" x14ac:dyDescent="0.3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</row>
    <row r="697" spans="1:27" ht="15.75" customHeight="1" x14ac:dyDescent="0.3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</row>
    <row r="698" spans="1:27" ht="15.75" customHeight="1" x14ac:dyDescent="0.3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</row>
    <row r="699" spans="1:27" ht="15.75" customHeight="1" x14ac:dyDescent="0.3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</row>
    <row r="700" spans="1:27" ht="15.75" customHeight="1" x14ac:dyDescent="0.3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</row>
    <row r="701" spans="1:27" ht="15.75" customHeight="1" x14ac:dyDescent="0.3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</row>
    <row r="702" spans="1:27" ht="15.75" customHeight="1" x14ac:dyDescent="0.3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</row>
    <row r="703" spans="1:27" ht="15.75" customHeight="1" x14ac:dyDescent="0.3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</row>
    <row r="704" spans="1:27" ht="15.75" customHeight="1" x14ac:dyDescent="0.3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</row>
    <row r="705" spans="1:27" ht="15.75" customHeight="1" x14ac:dyDescent="0.3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</row>
    <row r="706" spans="1:27" ht="15.75" customHeight="1" x14ac:dyDescent="0.3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</row>
    <row r="707" spans="1:27" ht="15.75" customHeight="1" x14ac:dyDescent="0.3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</row>
    <row r="708" spans="1:27" ht="15.75" customHeight="1" x14ac:dyDescent="0.3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</row>
    <row r="709" spans="1:27" ht="15.75" customHeight="1" x14ac:dyDescent="0.3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</row>
    <row r="710" spans="1:27" ht="15.75" customHeight="1" x14ac:dyDescent="0.3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</row>
    <row r="711" spans="1:27" ht="15.75" customHeight="1" x14ac:dyDescent="0.3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</row>
    <row r="712" spans="1:27" ht="15.75" customHeight="1" x14ac:dyDescent="0.3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</row>
    <row r="713" spans="1:27" ht="15.75" customHeight="1" x14ac:dyDescent="0.3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</row>
    <row r="714" spans="1:27" ht="15.75" customHeight="1" x14ac:dyDescent="0.3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</row>
    <row r="715" spans="1:27" ht="15.75" customHeight="1" x14ac:dyDescent="0.3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</row>
    <row r="716" spans="1:27" ht="15.75" customHeight="1" x14ac:dyDescent="0.3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</row>
    <row r="717" spans="1:27" ht="15.75" customHeight="1" x14ac:dyDescent="0.3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</row>
    <row r="718" spans="1:27" ht="15.75" customHeight="1" x14ac:dyDescent="0.3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</row>
    <row r="719" spans="1:27" ht="15.75" customHeight="1" x14ac:dyDescent="0.3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</row>
    <row r="720" spans="1:27" ht="15.75" customHeight="1" x14ac:dyDescent="0.3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</row>
    <row r="721" spans="1:27" ht="15.75" customHeight="1" x14ac:dyDescent="0.3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</row>
    <row r="722" spans="1:27" ht="15.75" customHeight="1" x14ac:dyDescent="0.3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</row>
    <row r="723" spans="1:27" ht="15.75" customHeight="1" x14ac:dyDescent="0.3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</row>
    <row r="724" spans="1:27" ht="15.75" customHeight="1" x14ac:dyDescent="0.3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</row>
    <row r="725" spans="1:27" ht="15.75" customHeight="1" x14ac:dyDescent="0.3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</row>
    <row r="726" spans="1:27" ht="15.75" customHeight="1" x14ac:dyDescent="0.3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</row>
    <row r="727" spans="1:27" ht="15.75" customHeight="1" x14ac:dyDescent="0.3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</row>
    <row r="728" spans="1:27" ht="15.75" customHeight="1" x14ac:dyDescent="0.3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</row>
    <row r="729" spans="1:27" ht="15.75" customHeight="1" x14ac:dyDescent="0.3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</row>
    <row r="730" spans="1:27" ht="15.75" customHeight="1" x14ac:dyDescent="0.3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</row>
    <row r="731" spans="1:27" ht="15.75" customHeight="1" x14ac:dyDescent="0.3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</row>
    <row r="732" spans="1:27" ht="15.75" customHeight="1" x14ac:dyDescent="0.3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</row>
    <row r="733" spans="1:27" ht="15.75" customHeight="1" x14ac:dyDescent="0.3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</row>
    <row r="734" spans="1:27" ht="15.75" customHeight="1" x14ac:dyDescent="0.3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</row>
    <row r="735" spans="1:27" ht="15.75" customHeight="1" x14ac:dyDescent="0.3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</row>
    <row r="736" spans="1:27" ht="15.75" customHeight="1" x14ac:dyDescent="0.3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</row>
    <row r="737" spans="1:27" ht="15.75" customHeight="1" x14ac:dyDescent="0.3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</row>
    <row r="738" spans="1:27" ht="15.75" customHeight="1" x14ac:dyDescent="0.3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</row>
    <row r="739" spans="1:27" ht="15.75" customHeight="1" x14ac:dyDescent="0.3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</row>
    <row r="740" spans="1:27" ht="15.75" customHeight="1" x14ac:dyDescent="0.3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</row>
    <row r="741" spans="1:27" ht="15.75" customHeight="1" x14ac:dyDescent="0.3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</row>
    <row r="742" spans="1:27" ht="15.75" customHeight="1" x14ac:dyDescent="0.3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</row>
    <row r="743" spans="1:27" ht="15.75" customHeight="1" x14ac:dyDescent="0.3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</row>
    <row r="744" spans="1:27" ht="15.75" customHeight="1" x14ac:dyDescent="0.3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</row>
    <row r="745" spans="1:27" ht="15.75" customHeight="1" x14ac:dyDescent="0.3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</row>
    <row r="746" spans="1:27" ht="15.75" customHeight="1" x14ac:dyDescent="0.3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</row>
    <row r="747" spans="1:27" ht="15.75" customHeight="1" x14ac:dyDescent="0.3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</row>
    <row r="748" spans="1:27" ht="15.75" customHeight="1" x14ac:dyDescent="0.3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</row>
    <row r="749" spans="1:27" ht="15.75" customHeight="1" x14ac:dyDescent="0.3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</row>
    <row r="750" spans="1:27" ht="15.75" customHeight="1" x14ac:dyDescent="0.3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</row>
    <row r="751" spans="1:27" ht="15.75" customHeight="1" x14ac:dyDescent="0.3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</row>
    <row r="752" spans="1:27" ht="15.75" customHeight="1" x14ac:dyDescent="0.3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</row>
    <row r="753" spans="1:27" ht="15.75" customHeight="1" x14ac:dyDescent="0.3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</row>
    <row r="754" spans="1:27" ht="15.75" customHeight="1" x14ac:dyDescent="0.3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</row>
    <row r="755" spans="1:27" ht="15.75" customHeight="1" x14ac:dyDescent="0.3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</row>
    <row r="756" spans="1:27" ht="15.75" customHeight="1" x14ac:dyDescent="0.3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</row>
    <row r="757" spans="1:27" ht="15.75" customHeight="1" x14ac:dyDescent="0.3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</row>
    <row r="758" spans="1:27" ht="15.75" customHeight="1" x14ac:dyDescent="0.3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</row>
    <row r="759" spans="1:27" ht="15.75" customHeight="1" x14ac:dyDescent="0.3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</row>
    <row r="760" spans="1:27" ht="15.75" customHeight="1" x14ac:dyDescent="0.3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</row>
    <row r="761" spans="1:27" ht="15.75" customHeight="1" x14ac:dyDescent="0.3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</row>
    <row r="762" spans="1:27" ht="15.75" customHeight="1" x14ac:dyDescent="0.3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</row>
    <row r="763" spans="1:27" ht="15.75" customHeight="1" x14ac:dyDescent="0.3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</row>
    <row r="764" spans="1:27" ht="15.75" customHeight="1" x14ac:dyDescent="0.3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</row>
    <row r="765" spans="1:27" ht="15.75" customHeight="1" x14ac:dyDescent="0.3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</row>
    <row r="766" spans="1:27" ht="15.75" customHeight="1" x14ac:dyDescent="0.3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</row>
    <row r="767" spans="1:27" ht="15.75" customHeight="1" x14ac:dyDescent="0.3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</row>
    <row r="768" spans="1:27" ht="15.75" customHeight="1" x14ac:dyDescent="0.3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</row>
    <row r="769" spans="1:27" ht="15.75" customHeight="1" x14ac:dyDescent="0.3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</row>
    <row r="770" spans="1:27" ht="15.75" customHeight="1" x14ac:dyDescent="0.3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</row>
    <row r="771" spans="1:27" ht="15.75" customHeight="1" x14ac:dyDescent="0.3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</row>
    <row r="772" spans="1:27" ht="15.75" customHeight="1" x14ac:dyDescent="0.3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</row>
    <row r="773" spans="1:27" ht="15.75" customHeight="1" x14ac:dyDescent="0.3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</row>
    <row r="774" spans="1:27" ht="15.75" customHeight="1" x14ac:dyDescent="0.3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</row>
    <row r="775" spans="1:27" ht="15.75" customHeight="1" x14ac:dyDescent="0.3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</row>
    <row r="776" spans="1:27" ht="15.75" customHeight="1" x14ac:dyDescent="0.3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</row>
    <row r="777" spans="1:27" ht="15.75" customHeight="1" x14ac:dyDescent="0.3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</row>
    <row r="778" spans="1:27" ht="15.75" customHeight="1" x14ac:dyDescent="0.3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</row>
    <row r="779" spans="1:27" ht="15.75" customHeight="1" x14ac:dyDescent="0.3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</row>
    <row r="780" spans="1:27" ht="15.75" customHeight="1" x14ac:dyDescent="0.3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</row>
    <row r="781" spans="1:27" ht="15.75" customHeight="1" x14ac:dyDescent="0.3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</row>
    <row r="782" spans="1:27" ht="15.75" customHeight="1" x14ac:dyDescent="0.3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</row>
    <row r="783" spans="1:27" ht="15.75" customHeight="1" x14ac:dyDescent="0.3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</row>
    <row r="784" spans="1:27" ht="15.75" customHeight="1" x14ac:dyDescent="0.3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</row>
    <row r="785" spans="1:27" ht="15.75" customHeight="1" x14ac:dyDescent="0.3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</row>
    <row r="786" spans="1:27" ht="15.75" customHeight="1" x14ac:dyDescent="0.3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</row>
    <row r="787" spans="1:27" ht="15.75" customHeight="1" x14ac:dyDescent="0.3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</row>
    <row r="788" spans="1:27" ht="15.75" customHeight="1" x14ac:dyDescent="0.3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</row>
    <row r="789" spans="1:27" ht="15.75" customHeight="1" x14ac:dyDescent="0.3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</row>
    <row r="790" spans="1:27" ht="15.75" customHeight="1" x14ac:dyDescent="0.3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</row>
    <row r="791" spans="1:27" ht="15.75" customHeight="1" x14ac:dyDescent="0.3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</row>
    <row r="792" spans="1:27" ht="15.75" customHeight="1" x14ac:dyDescent="0.3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</row>
    <row r="793" spans="1:27" ht="15.75" customHeight="1" x14ac:dyDescent="0.3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</row>
    <row r="794" spans="1:27" ht="15.75" customHeight="1" x14ac:dyDescent="0.3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</row>
    <row r="795" spans="1:27" ht="15.75" customHeight="1" x14ac:dyDescent="0.3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</row>
    <row r="796" spans="1:27" ht="15.75" customHeight="1" x14ac:dyDescent="0.3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</row>
    <row r="797" spans="1:27" ht="15.75" customHeight="1" x14ac:dyDescent="0.3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</row>
    <row r="798" spans="1:27" ht="15.75" customHeight="1" x14ac:dyDescent="0.3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</row>
    <row r="799" spans="1:27" ht="15.75" customHeight="1" x14ac:dyDescent="0.3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</row>
    <row r="800" spans="1:27" ht="15.75" customHeight="1" x14ac:dyDescent="0.3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</row>
    <row r="801" spans="1:27" ht="15.75" customHeight="1" x14ac:dyDescent="0.3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</row>
    <row r="802" spans="1:27" ht="15.75" customHeight="1" x14ac:dyDescent="0.3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</row>
    <row r="803" spans="1:27" ht="15.75" customHeight="1" x14ac:dyDescent="0.3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</row>
    <row r="804" spans="1:27" ht="15.75" customHeight="1" x14ac:dyDescent="0.3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</row>
    <row r="805" spans="1:27" ht="15.75" customHeight="1" x14ac:dyDescent="0.3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</row>
    <row r="806" spans="1:27" ht="15.75" customHeight="1" x14ac:dyDescent="0.3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</row>
    <row r="807" spans="1:27" ht="15.75" customHeight="1" x14ac:dyDescent="0.3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</row>
    <row r="808" spans="1:27" ht="15.75" customHeight="1" x14ac:dyDescent="0.3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</row>
    <row r="809" spans="1:27" ht="15.75" customHeight="1" x14ac:dyDescent="0.3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</row>
    <row r="810" spans="1:27" ht="15.75" customHeight="1" x14ac:dyDescent="0.3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</row>
    <row r="811" spans="1:27" ht="15.75" customHeight="1" x14ac:dyDescent="0.3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</row>
    <row r="812" spans="1:27" ht="15.75" customHeight="1" x14ac:dyDescent="0.3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</row>
    <row r="813" spans="1:27" ht="15.75" customHeight="1" x14ac:dyDescent="0.3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</row>
    <row r="814" spans="1:27" ht="15.75" customHeight="1" x14ac:dyDescent="0.3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</row>
    <row r="815" spans="1:27" ht="15.75" customHeight="1" x14ac:dyDescent="0.3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</row>
    <row r="816" spans="1:27" ht="15.75" customHeight="1" x14ac:dyDescent="0.3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</row>
    <row r="817" spans="1:27" ht="15.75" customHeight="1" x14ac:dyDescent="0.3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</row>
    <row r="818" spans="1:27" ht="15.75" customHeight="1" x14ac:dyDescent="0.3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</row>
    <row r="819" spans="1:27" ht="15.75" customHeight="1" x14ac:dyDescent="0.3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</row>
    <row r="820" spans="1:27" ht="15.75" customHeight="1" x14ac:dyDescent="0.3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</row>
    <row r="821" spans="1:27" ht="15.75" customHeight="1" x14ac:dyDescent="0.3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</row>
    <row r="822" spans="1:27" ht="15.75" customHeight="1" x14ac:dyDescent="0.3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</row>
    <row r="823" spans="1:27" ht="15.75" customHeight="1" x14ac:dyDescent="0.3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</row>
    <row r="824" spans="1:27" ht="15.75" customHeight="1" x14ac:dyDescent="0.3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</row>
    <row r="825" spans="1:27" ht="15.75" customHeight="1" x14ac:dyDescent="0.3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</row>
    <row r="826" spans="1:27" ht="15.75" customHeight="1" x14ac:dyDescent="0.3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</row>
    <row r="827" spans="1:27" ht="15.75" customHeight="1" x14ac:dyDescent="0.3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</row>
    <row r="828" spans="1:27" ht="15.75" customHeight="1" x14ac:dyDescent="0.3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</row>
    <row r="829" spans="1:27" ht="15.75" customHeight="1" x14ac:dyDescent="0.3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</row>
    <row r="830" spans="1:27" ht="15.75" customHeight="1" x14ac:dyDescent="0.3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</row>
    <row r="831" spans="1:27" ht="15.75" customHeight="1" x14ac:dyDescent="0.3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</row>
    <row r="832" spans="1:27" ht="15.75" customHeight="1" x14ac:dyDescent="0.3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</row>
    <row r="833" spans="1:27" ht="15.75" customHeight="1" x14ac:dyDescent="0.3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</row>
    <row r="834" spans="1:27" ht="15.75" customHeight="1" x14ac:dyDescent="0.3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</row>
    <row r="835" spans="1:27" ht="15.75" customHeight="1" x14ac:dyDescent="0.3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</row>
    <row r="836" spans="1:27" ht="15.75" customHeight="1" x14ac:dyDescent="0.3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</row>
    <row r="837" spans="1:27" ht="15.75" customHeight="1" x14ac:dyDescent="0.3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</row>
    <row r="838" spans="1:27" ht="15.75" customHeight="1" x14ac:dyDescent="0.3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</row>
    <row r="839" spans="1:27" ht="15.75" customHeight="1" x14ac:dyDescent="0.3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</row>
    <row r="840" spans="1:27" ht="15.75" customHeight="1" x14ac:dyDescent="0.3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</row>
    <row r="841" spans="1:27" ht="15.75" customHeight="1" x14ac:dyDescent="0.3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</row>
    <row r="842" spans="1:27" ht="15.75" customHeight="1" x14ac:dyDescent="0.3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</row>
    <row r="843" spans="1:27" ht="15.75" customHeight="1" x14ac:dyDescent="0.3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</row>
    <row r="844" spans="1:27" ht="15.75" customHeight="1" x14ac:dyDescent="0.3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</row>
    <row r="845" spans="1:27" ht="15.75" customHeight="1" x14ac:dyDescent="0.3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</row>
    <row r="846" spans="1:27" ht="15.75" customHeight="1" x14ac:dyDescent="0.3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</row>
    <row r="847" spans="1:27" ht="15.75" customHeight="1" x14ac:dyDescent="0.3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</row>
    <row r="848" spans="1:27" ht="15.75" customHeight="1" x14ac:dyDescent="0.3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</row>
    <row r="849" spans="1:27" ht="15.75" customHeight="1" x14ac:dyDescent="0.3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</row>
    <row r="850" spans="1:27" ht="15.75" customHeight="1" x14ac:dyDescent="0.3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</row>
    <row r="851" spans="1:27" ht="15.75" customHeight="1" x14ac:dyDescent="0.3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</row>
    <row r="852" spans="1:27" ht="15.75" customHeight="1" x14ac:dyDescent="0.3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</row>
    <row r="853" spans="1:27" ht="15.75" customHeight="1" x14ac:dyDescent="0.3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</row>
    <row r="854" spans="1:27" ht="15.75" customHeight="1" x14ac:dyDescent="0.3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</row>
    <row r="855" spans="1:27" ht="15.75" customHeight="1" x14ac:dyDescent="0.3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</row>
    <row r="856" spans="1:27" ht="15.75" customHeight="1" x14ac:dyDescent="0.3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</row>
    <row r="857" spans="1:27" ht="15.75" customHeight="1" x14ac:dyDescent="0.3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</row>
    <row r="858" spans="1:27" ht="15.75" customHeight="1" x14ac:dyDescent="0.3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</row>
    <row r="859" spans="1:27" ht="15.75" customHeight="1" x14ac:dyDescent="0.3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</row>
    <row r="860" spans="1:27" ht="15.75" customHeight="1" x14ac:dyDescent="0.3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</row>
    <row r="861" spans="1:27" ht="15.75" customHeight="1" x14ac:dyDescent="0.3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</row>
    <row r="862" spans="1:27" ht="15.75" customHeight="1" x14ac:dyDescent="0.3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</row>
    <row r="863" spans="1:27" ht="15.75" customHeight="1" x14ac:dyDescent="0.3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</row>
    <row r="864" spans="1:27" ht="15.75" customHeight="1" x14ac:dyDescent="0.3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</row>
    <row r="865" spans="1:27" ht="15.75" customHeight="1" x14ac:dyDescent="0.3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</row>
    <row r="866" spans="1:27" ht="15.75" customHeight="1" x14ac:dyDescent="0.3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</row>
    <row r="867" spans="1:27" ht="15.75" customHeight="1" x14ac:dyDescent="0.3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</row>
    <row r="868" spans="1:27" ht="15.75" customHeight="1" x14ac:dyDescent="0.3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</row>
    <row r="869" spans="1:27" ht="15.75" customHeight="1" x14ac:dyDescent="0.3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</row>
    <row r="870" spans="1:27" ht="15.75" customHeight="1" x14ac:dyDescent="0.3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</row>
    <row r="871" spans="1:27" ht="15.75" customHeight="1" x14ac:dyDescent="0.3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</row>
    <row r="872" spans="1:27" ht="15.75" customHeight="1" x14ac:dyDescent="0.3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</row>
    <row r="873" spans="1:27" ht="15.75" customHeight="1" x14ac:dyDescent="0.3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</row>
    <row r="874" spans="1:27" ht="15.75" customHeight="1" x14ac:dyDescent="0.3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</row>
    <row r="875" spans="1:27" ht="15.75" customHeight="1" x14ac:dyDescent="0.3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</row>
    <row r="876" spans="1:27" ht="15.75" customHeight="1" x14ac:dyDescent="0.3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</row>
    <row r="877" spans="1:27" ht="15.75" customHeight="1" x14ac:dyDescent="0.3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</row>
    <row r="878" spans="1:27" ht="15.75" customHeight="1" x14ac:dyDescent="0.3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</row>
    <row r="879" spans="1:27" ht="15.75" customHeight="1" x14ac:dyDescent="0.3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</row>
    <row r="880" spans="1:27" ht="15.75" customHeight="1" x14ac:dyDescent="0.3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</row>
    <row r="881" spans="1:27" ht="15.75" customHeight="1" x14ac:dyDescent="0.3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</row>
    <row r="882" spans="1:27" ht="15.75" customHeight="1" x14ac:dyDescent="0.3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</row>
    <row r="883" spans="1:27" ht="15.75" customHeight="1" x14ac:dyDescent="0.3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</row>
    <row r="884" spans="1:27" ht="15.75" customHeight="1" x14ac:dyDescent="0.3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</row>
    <row r="885" spans="1:27" ht="15.75" customHeight="1" x14ac:dyDescent="0.3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</row>
    <row r="886" spans="1:27" ht="15.75" customHeight="1" x14ac:dyDescent="0.3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</row>
    <row r="887" spans="1:27" ht="15.75" customHeight="1" x14ac:dyDescent="0.3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</row>
    <row r="888" spans="1:27" ht="15.75" customHeight="1" x14ac:dyDescent="0.3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</row>
    <row r="889" spans="1:27" ht="15.75" customHeight="1" x14ac:dyDescent="0.3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</row>
    <row r="890" spans="1:27" ht="15.75" customHeight="1" x14ac:dyDescent="0.3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</row>
    <row r="891" spans="1:27" ht="15.75" customHeight="1" x14ac:dyDescent="0.3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</row>
    <row r="892" spans="1:27" ht="15.75" customHeight="1" x14ac:dyDescent="0.3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</row>
    <row r="893" spans="1:27" ht="15.75" customHeight="1" x14ac:dyDescent="0.3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</row>
    <row r="894" spans="1:27" ht="15.75" customHeight="1" x14ac:dyDescent="0.3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</row>
    <row r="895" spans="1:27" ht="15.75" customHeight="1" x14ac:dyDescent="0.3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</row>
    <row r="896" spans="1:27" ht="15.75" customHeight="1" x14ac:dyDescent="0.3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</row>
    <row r="897" spans="1:27" ht="15.75" customHeight="1" x14ac:dyDescent="0.3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</row>
    <row r="898" spans="1:27" ht="15.75" customHeight="1" x14ac:dyDescent="0.3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</row>
    <row r="899" spans="1:27" ht="15.75" customHeight="1" x14ac:dyDescent="0.3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</row>
    <row r="900" spans="1:27" ht="15.75" customHeight="1" x14ac:dyDescent="0.3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</row>
    <row r="901" spans="1:27" ht="15.75" customHeight="1" x14ac:dyDescent="0.3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</row>
    <row r="902" spans="1:27" ht="15.75" customHeight="1" x14ac:dyDescent="0.3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</row>
    <row r="903" spans="1:27" ht="15.75" customHeight="1" x14ac:dyDescent="0.3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</row>
    <row r="904" spans="1:27" ht="15.75" customHeight="1" x14ac:dyDescent="0.3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</row>
    <row r="905" spans="1:27" ht="15.75" customHeight="1" x14ac:dyDescent="0.3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</row>
    <row r="906" spans="1:27" ht="15.75" customHeight="1" x14ac:dyDescent="0.3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</row>
    <row r="907" spans="1:27" ht="15.75" customHeight="1" x14ac:dyDescent="0.3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</row>
    <row r="908" spans="1:27" ht="15.75" customHeight="1" x14ac:dyDescent="0.3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</row>
    <row r="909" spans="1:27" ht="15.75" customHeight="1" x14ac:dyDescent="0.3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</row>
    <row r="910" spans="1:27" ht="15.75" customHeight="1" x14ac:dyDescent="0.3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</row>
    <row r="911" spans="1:27" ht="15.75" customHeight="1" x14ac:dyDescent="0.3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</row>
    <row r="912" spans="1:27" ht="15.75" customHeight="1" x14ac:dyDescent="0.3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</row>
    <row r="913" spans="1:27" ht="15.75" customHeight="1" x14ac:dyDescent="0.3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</row>
    <row r="914" spans="1:27" ht="15.75" customHeight="1" x14ac:dyDescent="0.3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</row>
    <row r="915" spans="1:27" ht="15.75" customHeight="1" x14ac:dyDescent="0.3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</row>
    <row r="916" spans="1:27" ht="15.75" customHeight="1" x14ac:dyDescent="0.3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</row>
    <row r="917" spans="1:27" ht="15.75" customHeight="1" x14ac:dyDescent="0.3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</row>
    <row r="918" spans="1:27" ht="15.75" customHeight="1" x14ac:dyDescent="0.3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</row>
    <row r="919" spans="1:27" ht="15.75" customHeight="1" x14ac:dyDescent="0.3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</row>
    <row r="920" spans="1:27" ht="15.75" customHeight="1" x14ac:dyDescent="0.3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</row>
    <row r="921" spans="1:27" ht="15.75" customHeight="1" x14ac:dyDescent="0.3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</row>
    <row r="922" spans="1:27" ht="15.75" customHeight="1" x14ac:dyDescent="0.3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</row>
    <row r="923" spans="1:27" ht="15.75" customHeight="1" x14ac:dyDescent="0.3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</row>
    <row r="924" spans="1:27" ht="15.75" customHeight="1" x14ac:dyDescent="0.3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</row>
    <row r="925" spans="1:27" ht="15.75" customHeight="1" x14ac:dyDescent="0.3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</row>
    <row r="926" spans="1:27" ht="15.75" customHeight="1" x14ac:dyDescent="0.3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</row>
    <row r="927" spans="1:27" ht="15.75" customHeight="1" x14ac:dyDescent="0.3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</row>
    <row r="928" spans="1:27" ht="15.75" customHeight="1" x14ac:dyDescent="0.3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</row>
    <row r="929" spans="1:27" ht="15.75" customHeight="1" x14ac:dyDescent="0.3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</row>
    <row r="930" spans="1:27" ht="15.75" customHeight="1" x14ac:dyDescent="0.3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</row>
    <row r="931" spans="1:27" ht="15.75" customHeight="1" x14ac:dyDescent="0.3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</row>
    <row r="932" spans="1:27" ht="15.75" customHeight="1" x14ac:dyDescent="0.3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</row>
    <row r="933" spans="1:27" ht="15.75" customHeight="1" x14ac:dyDescent="0.3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</row>
    <row r="934" spans="1:27" ht="15.75" customHeight="1" x14ac:dyDescent="0.3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</row>
    <row r="935" spans="1:27" ht="15.75" customHeight="1" x14ac:dyDescent="0.3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</row>
    <row r="936" spans="1:27" ht="15.75" customHeight="1" x14ac:dyDescent="0.3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</row>
    <row r="937" spans="1:27" ht="15.75" customHeight="1" x14ac:dyDescent="0.3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</row>
    <row r="938" spans="1:27" ht="15.75" customHeight="1" x14ac:dyDescent="0.3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</row>
    <row r="939" spans="1:27" ht="15.75" customHeight="1" x14ac:dyDescent="0.3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</row>
    <row r="940" spans="1:27" ht="15.75" customHeight="1" x14ac:dyDescent="0.3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</row>
    <row r="941" spans="1:27" ht="15.75" customHeight="1" x14ac:dyDescent="0.3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</row>
    <row r="942" spans="1:27" ht="15.75" customHeight="1" x14ac:dyDescent="0.3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</row>
    <row r="943" spans="1:27" ht="15.75" customHeight="1" x14ac:dyDescent="0.3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</row>
    <row r="944" spans="1:27" ht="15.75" customHeight="1" x14ac:dyDescent="0.3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</row>
    <row r="945" spans="1:27" ht="15.75" customHeight="1" x14ac:dyDescent="0.3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</row>
    <row r="946" spans="1:27" ht="15.75" customHeight="1" x14ac:dyDescent="0.3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</row>
    <row r="947" spans="1:27" ht="15.75" customHeight="1" x14ac:dyDescent="0.3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</row>
    <row r="948" spans="1:27" ht="15.75" customHeight="1" x14ac:dyDescent="0.3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</row>
    <row r="949" spans="1:27" ht="15.75" customHeight="1" x14ac:dyDescent="0.3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</row>
    <row r="950" spans="1:27" ht="15.75" customHeight="1" x14ac:dyDescent="0.3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</row>
    <row r="951" spans="1:27" ht="15.75" customHeight="1" x14ac:dyDescent="0.3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</row>
    <row r="952" spans="1:27" ht="15.75" customHeight="1" x14ac:dyDescent="0.3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</row>
    <row r="953" spans="1:27" ht="15.75" customHeight="1" x14ac:dyDescent="0.3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</row>
    <row r="954" spans="1:27" ht="15.75" customHeight="1" x14ac:dyDescent="0.3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</row>
    <row r="955" spans="1:27" ht="15.75" customHeight="1" x14ac:dyDescent="0.3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</row>
    <row r="956" spans="1:27" ht="15.75" customHeight="1" x14ac:dyDescent="0.3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</row>
    <row r="957" spans="1:27" ht="15.75" customHeight="1" x14ac:dyDescent="0.3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</row>
    <row r="958" spans="1:27" ht="15.75" customHeight="1" x14ac:dyDescent="0.3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</row>
    <row r="959" spans="1:27" ht="15.75" customHeight="1" x14ac:dyDescent="0.3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</row>
    <row r="960" spans="1:27" ht="15.75" customHeight="1" x14ac:dyDescent="0.3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</row>
    <row r="961" spans="1:27" ht="15.75" customHeight="1" x14ac:dyDescent="0.3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</row>
    <row r="962" spans="1:27" ht="15.75" customHeight="1" x14ac:dyDescent="0.3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</row>
    <row r="963" spans="1:27" ht="15.75" customHeight="1" x14ac:dyDescent="0.3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</row>
    <row r="964" spans="1:27" ht="15.75" customHeight="1" x14ac:dyDescent="0.3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</row>
    <row r="965" spans="1:27" ht="15.75" customHeight="1" x14ac:dyDescent="0.3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</row>
    <row r="966" spans="1:27" ht="15.75" customHeight="1" x14ac:dyDescent="0.3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</row>
    <row r="967" spans="1:27" ht="15.75" customHeight="1" x14ac:dyDescent="0.3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</row>
    <row r="968" spans="1:27" ht="15.75" customHeight="1" x14ac:dyDescent="0.3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</row>
    <row r="969" spans="1:27" ht="15.75" customHeight="1" x14ac:dyDescent="0.3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</row>
    <row r="970" spans="1:27" ht="15.75" customHeight="1" x14ac:dyDescent="0.3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</row>
    <row r="971" spans="1:27" ht="15.75" customHeight="1" x14ac:dyDescent="0.3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</row>
  </sheetData>
  <mergeCells count="49">
    <mergeCell ref="K25:L25"/>
    <mergeCell ref="D33:E33"/>
    <mergeCell ref="I28:J28"/>
    <mergeCell ref="I29:J29"/>
    <mergeCell ref="I30:J30"/>
    <mergeCell ref="I31:J31"/>
    <mergeCell ref="I32:J32"/>
    <mergeCell ref="I33:J33"/>
    <mergeCell ref="D28:E28"/>
    <mergeCell ref="D29:E29"/>
    <mergeCell ref="D30:E30"/>
    <mergeCell ref="D31:E31"/>
    <mergeCell ref="D32:E32"/>
    <mergeCell ref="D27:E27"/>
    <mergeCell ref="I27:J27"/>
    <mergeCell ref="D25:E26"/>
    <mergeCell ref="B2:B3"/>
    <mergeCell ref="C2:C3"/>
    <mergeCell ref="D2:D3"/>
    <mergeCell ref="F8:F9"/>
    <mergeCell ref="H2:H3"/>
    <mergeCell ref="A7:B7"/>
    <mergeCell ref="B23:E23"/>
    <mergeCell ref="A24:B24"/>
    <mergeCell ref="G8:G9"/>
    <mergeCell ref="E8:E9"/>
    <mergeCell ref="H8:H9"/>
    <mergeCell ref="R2:R3"/>
    <mergeCell ref="I2:I3"/>
    <mergeCell ref="J2:J3"/>
    <mergeCell ref="A1:R1"/>
    <mergeCell ref="F25:G25"/>
    <mergeCell ref="I25:J26"/>
    <mergeCell ref="D24:G24"/>
    <mergeCell ref="I24:L24"/>
    <mergeCell ref="P2:P3"/>
    <mergeCell ref="L18:U18"/>
    <mergeCell ref="E13:G13"/>
    <mergeCell ref="A18:K18"/>
    <mergeCell ref="N2:N3"/>
    <mergeCell ref="O2:O3"/>
    <mergeCell ref="L2:L3"/>
    <mergeCell ref="A2:A3"/>
    <mergeCell ref="E2:E3"/>
    <mergeCell ref="F2:F3"/>
    <mergeCell ref="G2:G3"/>
    <mergeCell ref="M2:M3"/>
    <mergeCell ref="Q2:Q3"/>
    <mergeCell ref="K2:K3"/>
  </mergeCells>
  <dataValidations count="5">
    <dataValidation type="list" allowBlank="1" showErrorMessage="1" sqref="F25 K25">
      <formula1>"1,2"</formula1>
    </dataValidation>
    <dataValidation type="list" allowBlank="1" showErrorMessage="1" sqref="Q5">
      <formula1>"жилое,административное"</formula1>
    </dataValidation>
    <dataValidation type="list" allowBlank="1" showErrorMessage="1" sqref="P5">
      <formula1>"угловая,прямолинейная,кольцевая"</formula1>
    </dataValidation>
    <dataValidation type="list" allowBlank="1" showErrorMessage="1" sqref="R5">
      <formula1>"ПРВ,ПРН"</formula1>
    </dataValidation>
    <dataValidation type="list" allowBlank="1" showErrorMessage="1" sqref="K9:K10">
      <formula1>"Кирпич,Бетон,Металл"</formula1>
    </dataValidation>
  </dataValidations>
  <pageMargins left="0.7" right="0.7" top="0.75" bottom="0.75" header="0" footer="0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2</xdr:col>
                <xdr:colOff>523875</xdr:colOff>
                <xdr:row>7</xdr:row>
                <xdr:rowOff>0</xdr:rowOff>
              </from>
              <to>
                <xdr:col>3</xdr:col>
                <xdr:colOff>533400</xdr:colOff>
                <xdr:row>10</xdr:row>
                <xdr:rowOff>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66" r:id="rId6" name="CommandButton2">
          <controlPr defaultSize="0" autoLine="0" r:id="rId7">
            <anchor moveWithCells="1">
              <from>
                <xdr:col>2</xdr:col>
                <xdr:colOff>428625</xdr:colOff>
                <xdr:row>11</xdr:row>
                <xdr:rowOff>0</xdr:rowOff>
              </from>
              <to>
                <xdr:col>3</xdr:col>
                <xdr:colOff>628650</xdr:colOff>
                <xdr:row>12</xdr:row>
                <xdr:rowOff>9525</xdr:rowOff>
              </to>
            </anchor>
          </controlPr>
        </control>
      </mc:Choice>
      <mc:Fallback>
        <control shapeId="1066" r:id="rId6" name="CommandButton2"/>
      </mc:Fallback>
    </mc:AlternateContent>
  </controls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'Климатологические данные'!$A$1:$A$450</xm:f>
          </x14:formula1>
          <xm:sqref>A5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T450"/>
  <sheetViews>
    <sheetView workbookViewId="0">
      <selection activeCell="N24" sqref="N24"/>
    </sheetView>
  </sheetViews>
  <sheetFormatPr defaultRowHeight="15" x14ac:dyDescent="0.25"/>
  <cols>
    <col min="1" max="1" width="23.42578125" customWidth="1"/>
    <col min="2" max="4" width="9.140625" style="1"/>
    <col min="10" max="10" width="9.140625" customWidth="1"/>
  </cols>
  <sheetData>
    <row r="1" spans="1:20" x14ac:dyDescent="0.25">
      <c r="A1" s="44" t="s">
        <v>517</v>
      </c>
      <c r="B1" s="45" t="s">
        <v>158</v>
      </c>
      <c r="C1" s="45" t="s">
        <v>185</v>
      </c>
      <c r="D1" s="46" t="s">
        <v>612</v>
      </c>
      <c r="G1" s="48"/>
      <c r="H1" s="49">
        <v>2</v>
      </c>
      <c r="I1" s="49">
        <v>2.5</v>
      </c>
      <c r="J1" s="49">
        <v>3</v>
      </c>
      <c r="K1" s="49">
        <v>4</v>
      </c>
      <c r="L1" s="49">
        <v>5</v>
      </c>
      <c r="M1" s="49">
        <v>6</v>
      </c>
      <c r="N1" s="49">
        <v>7</v>
      </c>
      <c r="O1" s="49">
        <v>8</v>
      </c>
      <c r="P1" s="49">
        <v>10</v>
      </c>
    </row>
    <row r="2" spans="1:20" x14ac:dyDescent="0.25">
      <c r="A2" s="44" t="s">
        <v>599</v>
      </c>
      <c r="B2" s="45" t="s">
        <v>260</v>
      </c>
      <c r="C2" s="45" t="s">
        <v>427</v>
      </c>
      <c r="D2" s="46" t="s">
        <v>433</v>
      </c>
      <c r="G2" s="49">
        <v>10</v>
      </c>
      <c r="H2" s="49">
        <v>1</v>
      </c>
      <c r="I2" s="49">
        <v>1</v>
      </c>
      <c r="J2" s="49">
        <v>1</v>
      </c>
      <c r="K2" s="49">
        <v>1</v>
      </c>
      <c r="L2" s="49">
        <v>1</v>
      </c>
      <c r="M2" s="49">
        <v>1</v>
      </c>
      <c r="N2" s="49">
        <v>1</v>
      </c>
      <c r="O2" s="49">
        <v>1</v>
      </c>
      <c r="P2" s="49">
        <v>1</v>
      </c>
      <c r="S2" s="51">
        <f>ROUND(VLOOKUP('Из коридоров'!A5,'Климатологические данные'!A1:D450,3,FALSE),1)</f>
        <v>4</v>
      </c>
      <c r="T2" s="50">
        <f>IF('Из коридоров'!F5&lt;10, 1, IF(OR(ISERROR(MATCH('Из коридоров'!F5, 'Климатологические данные'!G2:G12, 1)),
          ISERROR(MATCH(S2, 'Климатологические данные'!H1:P1, 1))),
   INDEX('Климатологические данные'!H2:P12,
          MATCH('Из коридоров'!F5, 'Климатологические данные'!G2:G12, 1),
          MATCH(S2, 'Климатологические данные'!H1:P1, 1)),
   (INDEX('Климатологические данные'!H2:P12,
           MATCH('Из коридоров'!F5, 'Климатологические данные'!G2:G12, 1),
           MATCH(S2, 'Климатологические данные'!H1:P1, 1)) *
    (INDEX('Климатологические данные'!G2:G12,
            MATCH('Из коридоров'!F5, 'Климатологические данные'!G2:G12, 1) + 1) - 'Из коридоров'!F5) +
    INDEX('Климатологические данные'!H2:P12,
           MATCH('Из коридоров'!F5, 'Климатологические данные'!G2:G12, 1) + 1,
           MATCH(S2, 'Климатологические данные'!H1:P1, 1)) *
    ('Из коридоров'!F5 - INDEX('Климатологические данные'!G2:G12,
                                 MATCH('Из коридоров'!F5, 'Климатологические данные'!G2:G12, 1)))) /
   (INDEX('Климатологические данные'!G2:G12,
           MATCH('Из коридоров'!F5, 'Климатологические данные'!G2:G12, 1) + 1) -
    INDEX('Климатологические данные'!G2:G12,
           MATCH('Из коридоров'!F5, 'Климатологические данные'!G2:G12, 1)))
))</f>
        <v>1.5</v>
      </c>
    </row>
    <row r="3" spans="1:20" x14ac:dyDescent="0.25">
      <c r="A3" s="44" t="s">
        <v>635</v>
      </c>
      <c r="B3" s="45" t="s">
        <v>169</v>
      </c>
      <c r="C3" s="45" t="s">
        <v>233</v>
      </c>
      <c r="D3" s="46" t="s">
        <v>577</v>
      </c>
      <c r="G3" s="49">
        <v>50</v>
      </c>
      <c r="H3" s="49">
        <v>2.2999999999999998</v>
      </c>
      <c r="I3" s="49">
        <v>1.8</v>
      </c>
      <c r="J3" s="49">
        <v>1.8</v>
      </c>
      <c r="K3" s="49">
        <v>1.5</v>
      </c>
      <c r="L3" s="49">
        <v>1.4</v>
      </c>
      <c r="M3" s="49">
        <v>1.4</v>
      </c>
      <c r="N3" s="49">
        <v>1.3</v>
      </c>
      <c r="O3" s="49">
        <v>1.2</v>
      </c>
      <c r="P3" s="49">
        <v>1.2</v>
      </c>
      <c r="S3" s="51"/>
      <c r="T3" s="50">
        <f>IF('Из коридоров'!G5&lt;10,1,IF(OR(ISERROR(MATCH('Из коридоров'!G5, 'Климатологические данные'!G2:G12, 1)),
          ISERROR(MATCH(S2, 'Климатологические данные'!H1:P1, 1))),
   INDEX('Климатологические данные'!H2:P12,
          MATCH('Из коридоров'!G5, 'Климатологические данные'!G2:G12, 1),
          MATCH(S2, 'Климатологические данные'!H1:P1, 1)),
   (INDEX('Климатологические данные'!H2:P12,
           MATCH('Из коридоров'!G5, 'Климатологические данные'!G2:G12, 1),
           MATCH(S2, 'Климатологические данные'!H1:P1, 1)) *
    (INDEX('Климатологические данные'!G2:G12,
            MATCH('Из коридоров'!G5, 'Климатологические данные'!G2:G12, 1) + 1) - 'Из коридоров'!G5) +
    INDEX('Климатологические данные'!H2:P12,
           MATCH('Из коридоров'!G5, 'Климатологические данные'!G2:G12, 1) + 1,
           MATCH(S2, 'Климатологические данные'!H1:P1, 1)) *
    ('Из коридоров'!G5 - INDEX('Климатологические данные'!G2:G12,
                                 MATCH('Из коридоров'!G5, 'Климатологические данные'!G2:G12, 1)))) /
   (INDEX('Климатологические данные'!G2:G12,
           MATCH('Из коридоров'!G5, 'Климатологические данные'!G2:G12, 1) + 1) -
    INDEX('Климатологические данные'!G2:G12,
           MATCH('Из коридоров'!G5, 'Климатологические данные'!G2:G12, 1)))
))</f>
        <v>1</v>
      </c>
    </row>
    <row r="4" spans="1:20" x14ac:dyDescent="0.25">
      <c r="A4" s="44" t="s">
        <v>432</v>
      </c>
      <c r="B4" s="45" t="s">
        <v>160</v>
      </c>
      <c r="C4" s="45" t="s">
        <v>298</v>
      </c>
      <c r="D4" s="46" t="s">
        <v>577</v>
      </c>
      <c r="G4" s="49">
        <v>100</v>
      </c>
      <c r="H4" s="49">
        <v>2.8</v>
      </c>
      <c r="I4" s="49">
        <v>2.4</v>
      </c>
      <c r="J4" s="49">
        <v>2.2000000000000002</v>
      </c>
      <c r="K4" s="49">
        <v>1.9</v>
      </c>
      <c r="L4" s="49">
        <v>1.8</v>
      </c>
      <c r="M4" s="49">
        <v>1.7</v>
      </c>
      <c r="N4" s="49">
        <v>1.5</v>
      </c>
      <c r="O4" s="49">
        <v>1.4</v>
      </c>
      <c r="P4" s="49">
        <v>1.2</v>
      </c>
    </row>
    <row r="5" spans="1:20" x14ac:dyDescent="0.25">
      <c r="A5" s="44" t="s">
        <v>676</v>
      </c>
      <c r="B5" s="45" t="s">
        <v>93</v>
      </c>
      <c r="C5" s="45">
        <v>0</v>
      </c>
      <c r="D5" s="46" t="s">
        <v>680</v>
      </c>
      <c r="G5" s="49">
        <v>150</v>
      </c>
      <c r="H5" s="49">
        <v>3.2</v>
      </c>
      <c r="I5" s="49">
        <v>2.8</v>
      </c>
      <c r="J5" s="49">
        <v>2.5</v>
      </c>
      <c r="K5" s="49">
        <v>2.1</v>
      </c>
      <c r="L5" s="49">
        <v>2</v>
      </c>
      <c r="M5" s="49">
        <v>1.8</v>
      </c>
      <c r="N5" s="49">
        <v>1.7</v>
      </c>
      <c r="O5" s="49">
        <v>1.6</v>
      </c>
      <c r="P5" s="49">
        <v>1.4</v>
      </c>
    </row>
    <row r="6" spans="1:20" ht="15" customHeight="1" x14ac:dyDescent="0.25">
      <c r="A6" s="44" t="s">
        <v>485</v>
      </c>
      <c r="B6" s="45" t="s">
        <v>160</v>
      </c>
      <c r="C6" s="45" t="s">
        <v>235</v>
      </c>
      <c r="D6" s="46" t="s">
        <v>577</v>
      </c>
      <c r="G6" s="49">
        <v>200</v>
      </c>
      <c r="H6" s="49">
        <v>3.5</v>
      </c>
      <c r="I6" s="49">
        <v>3</v>
      </c>
      <c r="J6" s="49">
        <v>2.7</v>
      </c>
      <c r="K6" s="49">
        <v>2.4</v>
      </c>
      <c r="L6" s="49">
        <v>2.1</v>
      </c>
      <c r="M6" s="49">
        <v>2</v>
      </c>
      <c r="N6" s="49">
        <v>1.8</v>
      </c>
      <c r="O6" s="49">
        <v>1.7</v>
      </c>
      <c r="P6" s="49">
        <v>1.4</v>
      </c>
    </row>
    <row r="7" spans="1:20" ht="15" customHeight="1" x14ac:dyDescent="0.25">
      <c r="A7" s="44" t="s">
        <v>568</v>
      </c>
      <c r="B7" s="45" t="s">
        <v>127</v>
      </c>
      <c r="C7" s="45" t="s">
        <v>233</v>
      </c>
      <c r="D7" s="46" t="s">
        <v>540</v>
      </c>
      <c r="G7" s="49">
        <v>250</v>
      </c>
      <c r="H7" s="49">
        <v>3.8</v>
      </c>
      <c r="I7" s="49">
        <v>3.2</v>
      </c>
      <c r="J7" s="49">
        <v>2.8</v>
      </c>
      <c r="K7" s="49">
        <v>2.5</v>
      </c>
      <c r="L7" s="49">
        <v>2.2999999999999998</v>
      </c>
      <c r="M7" s="49">
        <v>2.1</v>
      </c>
      <c r="N7" s="49">
        <v>1.9</v>
      </c>
      <c r="O7" s="49">
        <v>1.8</v>
      </c>
      <c r="P7" s="49">
        <v>1.5</v>
      </c>
    </row>
    <row r="8" spans="1:20" x14ac:dyDescent="0.25">
      <c r="A8" s="44" t="s">
        <v>342</v>
      </c>
      <c r="B8" s="45" t="s">
        <v>129</v>
      </c>
      <c r="C8" s="45" t="s">
        <v>201</v>
      </c>
      <c r="D8" s="46" t="s">
        <v>681</v>
      </c>
      <c r="G8" s="49">
        <v>300</v>
      </c>
      <c r="H8" s="49">
        <v>3.8</v>
      </c>
      <c r="I8" s="49">
        <v>3.4</v>
      </c>
      <c r="J8" s="49">
        <v>3</v>
      </c>
      <c r="K8" s="49">
        <v>2.6</v>
      </c>
      <c r="L8" s="49">
        <v>2.4</v>
      </c>
      <c r="M8" s="49">
        <v>2.2000000000000002</v>
      </c>
      <c r="N8" s="49">
        <v>2</v>
      </c>
      <c r="O8" s="49">
        <v>1.9</v>
      </c>
      <c r="P8" s="49">
        <v>1.6</v>
      </c>
    </row>
    <row r="9" spans="1:20" x14ac:dyDescent="0.25">
      <c r="A9" s="44" t="s">
        <v>292</v>
      </c>
      <c r="B9" s="45" t="s">
        <v>101</v>
      </c>
      <c r="C9" s="45" t="s">
        <v>185</v>
      </c>
      <c r="D9" s="46" t="s">
        <v>550</v>
      </c>
      <c r="G9" s="49">
        <v>350</v>
      </c>
      <c r="H9" s="49">
        <v>4</v>
      </c>
      <c r="I9" s="49">
        <v>3.4</v>
      </c>
      <c r="J9" s="49">
        <v>3</v>
      </c>
      <c r="K9" s="49">
        <v>2.6</v>
      </c>
      <c r="L9" s="49">
        <v>2.4</v>
      </c>
      <c r="M9" s="49">
        <v>2.2999999999999998</v>
      </c>
      <c r="N9" s="49">
        <v>2.1</v>
      </c>
      <c r="O9" s="49">
        <v>2</v>
      </c>
      <c r="P9" s="49">
        <v>1.7</v>
      </c>
    </row>
    <row r="10" spans="1:20" ht="30" x14ac:dyDescent="0.25">
      <c r="A10" s="44" t="s">
        <v>228</v>
      </c>
      <c r="B10" s="45" t="s">
        <v>101</v>
      </c>
      <c r="C10" s="45" t="s">
        <v>147</v>
      </c>
      <c r="D10" s="46" t="s">
        <v>433</v>
      </c>
      <c r="G10" s="49">
        <v>400</v>
      </c>
      <c r="H10" s="49">
        <v>4</v>
      </c>
      <c r="I10" s="49">
        <v>3.4</v>
      </c>
      <c r="J10" s="49">
        <v>3.2</v>
      </c>
      <c r="K10" s="49">
        <v>2.8</v>
      </c>
      <c r="L10" s="49">
        <v>2.5</v>
      </c>
      <c r="M10" s="49">
        <v>2.2999999999999998</v>
      </c>
      <c r="N10" s="49">
        <v>2.1</v>
      </c>
      <c r="O10" s="49">
        <v>2.1</v>
      </c>
      <c r="P10" s="49">
        <v>1.8</v>
      </c>
    </row>
    <row r="11" spans="1:20" ht="30" x14ac:dyDescent="0.25">
      <c r="A11" s="44" t="s">
        <v>539</v>
      </c>
      <c r="B11" s="45" t="s">
        <v>158</v>
      </c>
      <c r="C11" s="45" t="s">
        <v>337</v>
      </c>
      <c r="D11" s="46" t="s">
        <v>540</v>
      </c>
      <c r="G11" s="49">
        <v>450</v>
      </c>
      <c r="H11" s="49">
        <v>4</v>
      </c>
      <c r="I11" s="49">
        <v>3.6</v>
      </c>
      <c r="J11" s="49">
        <v>3.2</v>
      </c>
      <c r="K11" s="49">
        <v>2.9</v>
      </c>
      <c r="L11" s="49">
        <v>2.6</v>
      </c>
      <c r="M11" s="49">
        <v>2.4</v>
      </c>
      <c r="N11" s="49">
        <v>2.2000000000000002</v>
      </c>
      <c r="O11" s="49">
        <v>2.2000000000000002</v>
      </c>
      <c r="P11" s="49">
        <v>1.8</v>
      </c>
    </row>
    <row r="12" spans="1:20" x14ac:dyDescent="0.25">
      <c r="A12" s="44" t="s">
        <v>374</v>
      </c>
      <c r="B12" s="45" t="s">
        <v>139</v>
      </c>
      <c r="C12" s="45" t="s">
        <v>318</v>
      </c>
      <c r="D12" s="46" t="s">
        <v>540</v>
      </c>
      <c r="G12" s="49">
        <v>500</v>
      </c>
      <c r="H12" s="49">
        <v>4</v>
      </c>
      <c r="I12" s="49">
        <v>3.6</v>
      </c>
      <c r="J12" s="49">
        <v>3.2</v>
      </c>
      <c r="K12" s="49">
        <v>2.9</v>
      </c>
      <c r="L12" s="49">
        <v>2.6</v>
      </c>
      <c r="M12" s="49">
        <v>2.5</v>
      </c>
      <c r="N12" s="49">
        <v>2.2999999999999998</v>
      </c>
      <c r="O12" s="49">
        <v>2.2000000000000002</v>
      </c>
      <c r="P12" s="49">
        <v>1.9</v>
      </c>
    </row>
    <row r="13" spans="1:20" x14ac:dyDescent="0.25">
      <c r="A13" s="44" t="s">
        <v>487</v>
      </c>
      <c r="B13" s="45" t="s">
        <v>160</v>
      </c>
      <c r="C13" s="45" t="s">
        <v>220</v>
      </c>
      <c r="D13" s="46" t="s">
        <v>587</v>
      </c>
    </row>
    <row r="14" spans="1:20" x14ac:dyDescent="0.25">
      <c r="A14" s="44" t="s">
        <v>626</v>
      </c>
      <c r="B14" s="45" t="s">
        <v>295</v>
      </c>
      <c r="C14" s="45" t="s">
        <v>533</v>
      </c>
      <c r="D14" s="46" t="s">
        <v>577</v>
      </c>
    </row>
    <row r="15" spans="1:20" x14ac:dyDescent="0.25">
      <c r="A15" s="44" t="s">
        <v>138</v>
      </c>
      <c r="B15" s="45" t="s">
        <v>141</v>
      </c>
      <c r="C15" s="45" t="s">
        <v>143</v>
      </c>
      <c r="D15" s="46" t="s">
        <v>634</v>
      </c>
    </row>
    <row r="16" spans="1:20" x14ac:dyDescent="0.25">
      <c r="A16" s="44" t="s">
        <v>545</v>
      </c>
      <c r="B16" s="45" t="s">
        <v>109</v>
      </c>
      <c r="C16" s="45" t="s">
        <v>337</v>
      </c>
      <c r="D16" s="46" t="s">
        <v>681</v>
      </c>
    </row>
    <row r="17" spans="1:16" x14ac:dyDescent="0.25">
      <c r="A17" s="44" t="s">
        <v>171</v>
      </c>
      <c r="B17" s="45" t="s">
        <v>169</v>
      </c>
      <c r="C17" s="45" t="s">
        <v>114</v>
      </c>
      <c r="D17" s="46" t="s">
        <v>684</v>
      </c>
    </row>
    <row r="18" spans="1:16" x14ac:dyDescent="0.25">
      <c r="A18" s="44" t="s">
        <v>320</v>
      </c>
      <c r="B18" s="45" t="s">
        <v>109</v>
      </c>
      <c r="C18" s="45" t="s">
        <v>220</v>
      </c>
      <c r="D18" s="46" t="s">
        <v>685</v>
      </c>
    </row>
    <row r="19" spans="1:16" x14ac:dyDescent="0.25">
      <c r="A19" s="44" t="s">
        <v>404</v>
      </c>
      <c r="B19" s="45" t="s">
        <v>172</v>
      </c>
      <c r="C19" s="45" t="s">
        <v>245</v>
      </c>
      <c r="D19" s="46" t="s">
        <v>550</v>
      </c>
    </row>
    <row r="20" spans="1:16" ht="15" customHeight="1" x14ac:dyDescent="0.25">
      <c r="A20" s="44" t="s">
        <v>391</v>
      </c>
      <c r="B20" s="45" t="s">
        <v>160</v>
      </c>
      <c r="C20" s="45" t="s">
        <v>282</v>
      </c>
      <c r="D20" s="46" t="s">
        <v>587</v>
      </c>
      <c r="G20" s="47"/>
      <c r="H20" s="47"/>
      <c r="I20" s="47"/>
      <c r="J20" s="47"/>
      <c r="K20" s="47"/>
      <c r="L20" s="47"/>
      <c r="M20" s="47"/>
      <c r="N20" s="47"/>
      <c r="O20" s="47"/>
      <c r="P20" s="47"/>
    </row>
    <row r="21" spans="1:16" x14ac:dyDescent="0.25">
      <c r="A21" s="44" t="s">
        <v>520</v>
      </c>
      <c r="B21" s="45" t="s">
        <v>151</v>
      </c>
      <c r="C21" s="45" t="s">
        <v>224</v>
      </c>
      <c r="D21" s="46" t="s">
        <v>577</v>
      </c>
    </row>
    <row r="22" spans="1:16" x14ac:dyDescent="0.25">
      <c r="A22" s="44" t="s">
        <v>231</v>
      </c>
      <c r="B22" s="45" t="s">
        <v>93</v>
      </c>
      <c r="C22" s="45">
        <v>0</v>
      </c>
      <c r="D22" s="46" t="s">
        <v>474</v>
      </c>
    </row>
    <row r="23" spans="1:16" x14ac:dyDescent="0.25">
      <c r="A23" s="44" t="s">
        <v>383</v>
      </c>
      <c r="B23" s="45" t="s">
        <v>152</v>
      </c>
      <c r="C23" s="45" t="s">
        <v>203</v>
      </c>
      <c r="D23" s="46" t="s">
        <v>577</v>
      </c>
    </row>
    <row r="24" spans="1:16" x14ac:dyDescent="0.25">
      <c r="A24" s="44" t="s">
        <v>376</v>
      </c>
      <c r="B24" s="45" t="s">
        <v>172</v>
      </c>
      <c r="C24" s="45" t="s">
        <v>287</v>
      </c>
      <c r="D24" s="46" t="s">
        <v>550</v>
      </c>
    </row>
    <row r="25" spans="1:16" x14ac:dyDescent="0.25">
      <c r="A25" s="44" t="s">
        <v>270</v>
      </c>
      <c r="B25" s="45" t="s">
        <v>151</v>
      </c>
      <c r="C25" s="45" t="s">
        <v>220</v>
      </c>
      <c r="D25" s="46" t="s">
        <v>685</v>
      </c>
    </row>
    <row r="26" spans="1:16" x14ac:dyDescent="0.25">
      <c r="A26" s="44" t="s">
        <v>458</v>
      </c>
      <c r="B26" s="45" t="s">
        <v>169</v>
      </c>
      <c r="C26" s="45" t="s">
        <v>408</v>
      </c>
      <c r="D26" s="46" t="s">
        <v>634</v>
      </c>
    </row>
    <row r="27" spans="1:16" x14ac:dyDescent="0.25">
      <c r="A27" s="44" t="s">
        <v>484</v>
      </c>
      <c r="B27" s="45" t="s">
        <v>156</v>
      </c>
      <c r="C27" s="45" t="s">
        <v>388</v>
      </c>
      <c r="D27" s="46" t="s">
        <v>540</v>
      </c>
    </row>
    <row r="28" spans="1:16" x14ac:dyDescent="0.25">
      <c r="A28" s="44" t="s">
        <v>299</v>
      </c>
      <c r="B28" s="45" t="s">
        <v>109</v>
      </c>
      <c r="C28" s="45" t="s">
        <v>112</v>
      </c>
      <c r="D28" s="46" t="s">
        <v>683</v>
      </c>
    </row>
    <row r="29" spans="1:16" x14ac:dyDescent="0.25">
      <c r="A29" s="44" t="s">
        <v>642</v>
      </c>
      <c r="B29" s="45" t="s">
        <v>139</v>
      </c>
      <c r="C29" s="45" t="s">
        <v>446</v>
      </c>
      <c r="D29" s="46" t="s">
        <v>587</v>
      </c>
    </row>
    <row r="30" spans="1:16" x14ac:dyDescent="0.25">
      <c r="A30" s="44" t="s">
        <v>180</v>
      </c>
      <c r="B30" s="45" t="s">
        <v>156</v>
      </c>
      <c r="C30" s="45" t="s">
        <v>181</v>
      </c>
      <c r="D30" s="46" t="s">
        <v>683</v>
      </c>
    </row>
    <row r="31" spans="1:16" x14ac:dyDescent="0.25">
      <c r="A31" s="44" t="s">
        <v>622</v>
      </c>
      <c r="B31" s="45" t="s">
        <v>122</v>
      </c>
      <c r="C31" s="45" t="s">
        <v>118</v>
      </c>
      <c r="D31" s="46" t="s">
        <v>680</v>
      </c>
    </row>
    <row r="32" spans="1:16" x14ac:dyDescent="0.25">
      <c r="A32" s="44" t="s">
        <v>646</v>
      </c>
      <c r="B32" s="45" t="s">
        <v>164</v>
      </c>
      <c r="C32" s="45" t="s">
        <v>533</v>
      </c>
      <c r="D32" s="46" t="s">
        <v>540</v>
      </c>
    </row>
    <row r="33" spans="1:4" x14ac:dyDescent="0.25">
      <c r="A33" s="44" t="s">
        <v>285</v>
      </c>
      <c r="B33" s="45" t="s">
        <v>152</v>
      </c>
      <c r="C33" s="45" t="s">
        <v>226</v>
      </c>
      <c r="D33" s="46" t="s">
        <v>681</v>
      </c>
    </row>
    <row r="34" spans="1:4" x14ac:dyDescent="0.25">
      <c r="A34" s="44" t="s">
        <v>291</v>
      </c>
      <c r="B34" s="45" t="s">
        <v>128</v>
      </c>
      <c r="C34" s="45" t="s">
        <v>251</v>
      </c>
      <c r="D34" s="46" t="s">
        <v>577</v>
      </c>
    </row>
    <row r="35" spans="1:4" x14ac:dyDescent="0.25">
      <c r="A35" s="44" t="s">
        <v>593</v>
      </c>
      <c r="B35" s="45" t="s">
        <v>127</v>
      </c>
      <c r="C35" s="45" t="s">
        <v>365</v>
      </c>
      <c r="D35" s="46" t="s">
        <v>685</v>
      </c>
    </row>
    <row r="36" spans="1:4" x14ac:dyDescent="0.25">
      <c r="A36" s="44" t="s">
        <v>343</v>
      </c>
      <c r="B36" s="45" t="s">
        <v>151</v>
      </c>
      <c r="C36" s="45" t="s">
        <v>117</v>
      </c>
      <c r="D36" s="46" t="s">
        <v>612</v>
      </c>
    </row>
    <row r="37" spans="1:4" x14ac:dyDescent="0.25">
      <c r="A37" s="44" t="s">
        <v>546</v>
      </c>
      <c r="B37" s="45" t="s">
        <v>260</v>
      </c>
      <c r="C37" s="45" t="s">
        <v>427</v>
      </c>
      <c r="D37" s="46" t="s">
        <v>587</v>
      </c>
    </row>
    <row r="38" spans="1:4" x14ac:dyDescent="0.25">
      <c r="A38" s="44" t="s">
        <v>360</v>
      </c>
      <c r="B38" s="45" t="s">
        <v>156</v>
      </c>
      <c r="C38" s="45" t="s">
        <v>217</v>
      </c>
      <c r="D38" s="46" t="s">
        <v>587</v>
      </c>
    </row>
    <row r="39" spans="1:4" x14ac:dyDescent="0.25">
      <c r="A39" s="44" t="s">
        <v>244</v>
      </c>
      <c r="B39" s="45" t="s">
        <v>102</v>
      </c>
      <c r="C39" s="45" t="s">
        <v>220</v>
      </c>
      <c r="D39" s="46" t="s">
        <v>612</v>
      </c>
    </row>
    <row r="40" spans="1:4" x14ac:dyDescent="0.25">
      <c r="A40" s="44" t="s">
        <v>521</v>
      </c>
      <c r="B40" s="45" t="s">
        <v>151</v>
      </c>
      <c r="C40" s="45" t="s">
        <v>460</v>
      </c>
      <c r="D40" s="46" t="s">
        <v>612</v>
      </c>
    </row>
    <row r="41" spans="1:4" x14ac:dyDescent="0.25">
      <c r="A41" s="44" t="s">
        <v>426</v>
      </c>
      <c r="B41" s="45" t="s">
        <v>136</v>
      </c>
      <c r="C41" s="45" t="s">
        <v>204</v>
      </c>
      <c r="D41" s="46" t="s">
        <v>685</v>
      </c>
    </row>
    <row r="42" spans="1:4" x14ac:dyDescent="0.25">
      <c r="A42" s="44" t="s">
        <v>654</v>
      </c>
      <c r="B42" s="45" t="s">
        <v>295</v>
      </c>
      <c r="C42" s="45" t="s">
        <v>98</v>
      </c>
      <c r="D42" s="46" t="s">
        <v>685</v>
      </c>
    </row>
    <row r="43" spans="1:4" x14ac:dyDescent="0.25">
      <c r="A43" s="44" t="s">
        <v>308</v>
      </c>
      <c r="B43" s="45" t="s">
        <v>139</v>
      </c>
      <c r="C43" s="45" t="s">
        <v>287</v>
      </c>
      <c r="D43" s="46" t="s">
        <v>683</v>
      </c>
    </row>
    <row r="44" spans="1:4" x14ac:dyDescent="0.25">
      <c r="A44" s="44" t="s">
        <v>308</v>
      </c>
      <c r="B44" s="45" t="s">
        <v>164</v>
      </c>
      <c r="C44" s="45" t="s">
        <v>137</v>
      </c>
      <c r="D44" s="46" t="s">
        <v>680</v>
      </c>
    </row>
    <row r="45" spans="1:4" x14ac:dyDescent="0.25">
      <c r="A45" s="44" t="s">
        <v>508</v>
      </c>
      <c r="B45" s="45" t="s">
        <v>158</v>
      </c>
      <c r="C45" s="45" t="s">
        <v>179</v>
      </c>
      <c r="D45" s="46" t="s">
        <v>612</v>
      </c>
    </row>
    <row r="46" spans="1:4" x14ac:dyDescent="0.25">
      <c r="A46" s="44" t="s">
        <v>584</v>
      </c>
      <c r="B46" s="45" t="s">
        <v>156</v>
      </c>
      <c r="C46" s="45" t="s">
        <v>533</v>
      </c>
      <c r="D46" s="46" t="s">
        <v>612</v>
      </c>
    </row>
    <row r="47" spans="1:4" x14ac:dyDescent="0.25">
      <c r="A47" s="44" t="s">
        <v>595</v>
      </c>
      <c r="B47" s="45" t="s">
        <v>136</v>
      </c>
      <c r="C47" s="45" t="s">
        <v>202</v>
      </c>
      <c r="D47" s="46" t="s">
        <v>612</v>
      </c>
    </row>
    <row r="48" spans="1:4" x14ac:dyDescent="0.25">
      <c r="A48" s="44" t="s">
        <v>453</v>
      </c>
      <c r="B48" s="45" t="s">
        <v>129</v>
      </c>
      <c r="C48" s="45" t="s">
        <v>287</v>
      </c>
      <c r="D48" s="46" t="s">
        <v>587</v>
      </c>
    </row>
    <row r="49" spans="1:4" x14ac:dyDescent="0.25">
      <c r="A49" s="44" t="s">
        <v>534</v>
      </c>
      <c r="B49" s="45" t="s">
        <v>111</v>
      </c>
      <c r="C49" s="45" t="s">
        <v>202</v>
      </c>
      <c r="D49" s="46" t="s">
        <v>612</v>
      </c>
    </row>
    <row r="50" spans="1:4" x14ac:dyDescent="0.25">
      <c r="A50" s="44" t="s">
        <v>266</v>
      </c>
      <c r="B50" s="45" t="s">
        <v>172</v>
      </c>
      <c r="C50" s="45" t="s">
        <v>170</v>
      </c>
      <c r="D50" s="46" t="s">
        <v>577</v>
      </c>
    </row>
    <row r="51" spans="1:4" x14ac:dyDescent="0.25">
      <c r="A51" s="44" t="s">
        <v>394</v>
      </c>
      <c r="B51" s="45" t="s">
        <v>158</v>
      </c>
      <c r="C51" s="45" t="s">
        <v>298</v>
      </c>
      <c r="D51" s="46" t="s">
        <v>540</v>
      </c>
    </row>
    <row r="52" spans="1:4" x14ac:dyDescent="0.25">
      <c r="A52" s="44" t="s">
        <v>565</v>
      </c>
      <c r="B52" s="45" t="s">
        <v>142</v>
      </c>
      <c r="C52" s="45" t="s">
        <v>388</v>
      </c>
      <c r="D52" s="46" t="s">
        <v>577</v>
      </c>
    </row>
    <row r="53" spans="1:4" x14ac:dyDescent="0.25">
      <c r="A53" s="44" t="s">
        <v>645</v>
      </c>
      <c r="B53" s="45" t="s">
        <v>206</v>
      </c>
      <c r="C53" s="45" t="s">
        <v>233</v>
      </c>
      <c r="D53" s="46" t="s">
        <v>577</v>
      </c>
    </row>
    <row r="54" spans="1:4" x14ac:dyDescent="0.25">
      <c r="A54" s="44" t="s">
        <v>461</v>
      </c>
      <c r="B54" s="45" t="s">
        <v>128</v>
      </c>
      <c r="C54" s="45" t="s">
        <v>287</v>
      </c>
      <c r="D54" s="46" t="s">
        <v>577</v>
      </c>
    </row>
    <row r="55" spans="1:4" x14ac:dyDescent="0.25">
      <c r="A55" s="44" t="s">
        <v>225</v>
      </c>
      <c r="B55" s="45" t="s">
        <v>122</v>
      </c>
      <c r="C55" s="45" t="s">
        <v>123</v>
      </c>
      <c r="D55" s="46" t="s">
        <v>486</v>
      </c>
    </row>
    <row r="56" spans="1:4" x14ac:dyDescent="0.25">
      <c r="A56" s="44" t="s">
        <v>641</v>
      </c>
      <c r="B56" s="45" t="s">
        <v>139</v>
      </c>
      <c r="C56" s="45" t="s">
        <v>446</v>
      </c>
      <c r="D56" s="46" t="s">
        <v>685</v>
      </c>
    </row>
    <row r="57" spans="1:4" x14ac:dyDescent="0.25">
      <c r="A57" s="44" t="s">
        <v>447</v>
      </c>
      <c r="B57" s="45" t="s">
        <v>128</v>
      </c>
      <c r="C57" s="45" t="s">
        <v>337</v>
      </c>
      <c r="D57" s="46" t="s">
        <v>577</v>
      </c>
    </row>
    <row r="58" spans="1:4" x14ac:dyDescent="0.25">
      <c r="A58" s="44" t="s">
        <v>558</v>
      </c>
      <c r="B58" s="45" t="s">
        <v>109</v>
      </c>
      <c r="C58" s="45" t="s">
        <v>202</v>
      </c>
      <c r="D58" s="46" t="s">
        <v>540</v>
      </c>
    </row>
    <row r="59" spans="1:4" x14ac:dyDescent="0.25">
      <c r="A59" s="44" t="s">
        <v>535</v>
      </c>
      <c r="B59" s="45" t="s">
        <v>158</v>
      </c>
      <c r="C59" s="45" t="s">
        <v>351</v>
      </c>
      <c r="D59" s="46" t="s">
        <v>577</v>
      </c>
    </row>
    <row r="60" spans="1:4" x14ac:dyDescent="0.25">
      <c r="A60" s="44" t="s">
        <v>526</v>
      </c>
      <c r="B60" s="45" t="s">
        <v>141</v>
      </c>
      <c r="C60" s="45" t="s">
        <v>224</v>
      </c>
      <c r="D60" s="46" t="s">
        <v>587</v>
      </c>
    </row>
    <row r="61" spans="1:4" x14ac:dyDescent="0.25">
      <c r="A61" s="44" t="s">
        <v>194</v>
      </c>
      <c r="B61" s="45" t="s">
        <v>129</v>
      </c>
      <c r="C61" s="45" t="s">
        <v>195</v>
      </c>
      <c r="D61" s="46" t="s">
        <v>679</v>
      </c>
    </row>
    <row r="62" spans="1:4" x14ac:dyDescent="0.25">
      <c r="A62" s="44" t="s">
        <v>430</v>
      </c>
      <c r="B62" s="45" t="s">
        <v>103</v>
      </c>
      <c r="C62" s="45" t="s">
        <v>318</v>
      </c>
      <c r="D62" s="46" t="s">
        <v>685</v>
      </c>
    </row>
    <row r="63" spans="1:4" x14ac:dyDescent="0.25">
      <c r="A63" s="44" t="s">
        <v>221</v>
      </c>
      <c r="B63" s="45" t="s">
        <v>109</v>
      </c>
      <c r="C63" s="45" t="s">
        <v>149</v>
      </c>
      <c r="D63" s="46" t="s">
        <v>685</v>
      </c>
    </row>
    <row r="64" spans="1:4" x14ac:dyDescent="0.25">
      <c r="A64" s="44" t="s">
        <v>669</v>
      </c>
      <c r="B64" s="45" t="s">
        <v>187</v>
      </c>
      <c r="C64" s="45" t="s">
        <v>202</v>
      </c>
      <c r="D64" s="46" t="s">
        <v>577</v>
      </c>
    </row>
    <row r="65" spans="1:4" x14ac:dyDescent="0.25">
      <c r="A65" s="44" t="s">
        <v>652</v>
      </c>
      <c r="B65" s="45" t="s">
        <v>140</v>
      </c>
      <c r="C65" s="45" t="s">
        <v>533</v>
      </c>
      <c r="D65" s="46" t="s">
        <v>577</v>
      </c>
    </row>
    <row r="66" spans="1:4" x14ac:dyDescent="0.25">
      <c r="A66" s="44" t="s">
        <v>120</v>
      </c>
      <c r="B66" s="45" t="s">
        <v>93</v>
      </c>
      <c r="C66" s="45" t="s">
        <v>124</v>
      </c>
      <c r="D66" s="46" t="s">
        <v>679</v>
      </c>
    </row>
    <row r="67" spans="1:4" x14ac:dyDescent="0.25">
      <c r="A67" s="44" t="s">
        <v>617</v>
      </c>
      <c r="B67" s="45" t="s">
        <v>279</v>
      </c>
      <c r="C67" s="45" t="s">
        <v>533</v>
      </c>
      <c r="D67" s="46" t="s">
        <v>577</v>
      </c>
    </row>
    <row r="68" spans="1:4" x14ac:dyDescent="0.25">
      <c r="A68" s="44" t="s">
        <v>150</v>
      </c>
      <c r="B68" s="45" t="s">
        <v>151</v>
      </c>
      <c r="C68" s="45" t="s">
        <v>154</v>
      </c>
      <c r="D68" s="46" t="s">
        <v>486</v>
      </c>
    </row>
    <row r="69" spans="1:4" x14ac:dyDescent="0.25">
      <c r="A69" s="44" t="s">
        <v>398</v>
      </c>
      <c r="B69" s="45" t="s">
        <v>152</v>
      </c>
      <c r="C69" s="45" t="s">
        <v>256</v>
      </c>
      <c r="D69" s="46" t="s">
        <v>685</v>
      </c>
    </row>
    <row r="70" spans="1:4" x14ac:dyDescent="0.25">
      <c r="A70" s="44" t="s">
        <v>262</v>
      </c>
      <c r="B70" s="45" t="s">
        <v>122</v>
      </c>
      <c r="C70" s="45" t="s">
        <v>161</v>
      </c>
      <c r="D70" s="46" t="s">
        <v>540</v>
      </c>
    </row>
    <row r="71" spans="1:4" x14ac:dyDescent="0.25">
      <c r="A71" s="44" t="s">
        <v>618</v>
      </c>
      <c r="B71" s="45" t="s">
        <v>146</v>
      </c>
      <c r="C71" s="45" t="s">
        <v>240</v>
      </c>
      <c r="D71" s="46" t="s">
        <v>685</v>
      </c>
    </row>
    <row r="72" spans="1:4" x14ac:dyDescent="0.25">
      <c r="A72" s="44" t="s">
        <v>500</v>
      </c>
      <c r="B72" s="45" t="s">
        <v>141</v>
      </c>
      <c r="C72" s="45" t="s">
        <v>408</v>
      </c>
      <c r="D72" s="46" t="s">
        <v>540</v>
      </c>
    </row>
    <row r="73" spans="1:4" x14ac:dyDescent="0.25">
      <c r="A73" s="44" t="s">
        <v>475</v>
      </c>
      <c r="B73" s="45" t="s">
        <v>206</v>
      </c>
      <c r="C73" s="45" t="s">
        <v>388</v>
      </c>
      <c r="D73" s="46" t="s">
        <v>540</v>
      </c>
    </row>
    <row r="74" spans="1:4" x14ac:dyDescent="0.25">
      <c r="A74" s="44" t="s">
        <v>596</v>
      </c>
      <c r="B74" s="45" t="s">
        <v>146</v>
      </c>
      <c r="C74" s="45" t="s">
        <v>298</v>
      </c>
      <c r="D74" s="46" t="s">
        <v>577</v>
      </c>
    </row>
    <row r="75" spans="1:4" x14ac:dyDescent="0.25">
      <c r="A75" s="44" t="s">
        <v>518</v>
      </c>
      <c r="B75" s="45" t="s">
        <v>129</v>
      </c>
      <c r="C75" s="45" t="s">
        <v>282</v>
      </c>
      <c r="D75" s="46" t="s">
        <v>577</v>
      </c>
    </row>
    <row r="76" spans="1:4" x14ac:dyDescent="0.25">
      <c r="A76" s="44" t="s">
        <v>327</v>
      </c>
      <c r="B76" s="45" t="s">
        <v>103</v>
      </c>
      <c r="C76" s="45" t="s">
        <v>117</v>
      </c>
      <c r="D76" s="46" t="s">
        <v>364</v>
      </c>
    </row>
    <row r="77" spans="1:4" x14ac:dyDescent="0.25">
      <c r="A77" s="44" t="s">
        <v>657</v>
      </c>
      <c r="B77" s="45" t="s">
        <v>129</v>
      </c>
      <c r="C77" s="45" t="s">
        <v>533</v>
      </c>
      <c r="D77" s="46" t="s">
        <v>587</v>
      </c>
    </row>
    <row r="78" spans="1:4" x14ac:dyDescent="0.25">
      <c r="A78" s="44" t="s">
        <v>504</v>
      </c>
      <c r="B78" s="45" t="s">
        <v>151</v>
      </c>
      <c r="C78" s="45" t="s">
        <v>408</v>
      </c>
      <c r="D78" s="46" t="s">
        <v>685</v>
      </c>
    </row>
    <row r="79" spans="1:4" x14ac:dyDescent="0.25">
      <c r="A79" s="44" t="s">
        <v>651</v>
      </c>
      <c r="B79" s="45" t="s">
        <v>310</v>
      </c>
      <c r="C79" s="45" t="s">
        <v>118</v>
      </c>
      <c r="D79" s="46" t="s">
        <v>577</v>
      </c>
    </row>
    <row r="80" spans="1:4" x14ac:dyDescent="0.25">
      <c r="A80" s="44" t="s">
        <v>582</v>
      </c>
      <c r="B80" s="45" t="s">
        <v>187</v>
      </c>
      <c r="C80" s="45" t="s">
        <v>223</v>
      </c>
      <c r="D80" s="46" t="s">
        <v>577</v>
      </c>
    </row>
    <row r="81" spans="1:4" x14ac:dyDescent="0.25">
      <c r="A81" s="44" t="s">
        <v>513</v>
      </c>
      <c r="B81" s="45" t="s">
        <v>164</v>
      </c>
      <c r="C81" s="45" t="s">
        <v>298</v>
      </c>
      <c r="D81" s="46" t="s">
        <v>685</v>
      </c>
    </row>
    <row r="82" spans="1:4" x14ac:dyDescent="0.25">
      <c r="A82" s="44" t="s">
        <v>134</v>
      </c>
      <c r="B82" s="45" t="s">
        <v>135</v>
      </c>
      <c r="C82" s="45" t="s">
        <v>137</v>
      </c>
      <c r="D82" s="46" t="s">
        <v>680</v>
      </c>
    </row>
    <row r="83" spans="1:4" x14ac:dyDescent="0.25">
      <c r="A83" s="44" t="s">
        <v>628</v>
      </c>
      <c r="B83" s="45" t="s">
        <v>110</v>
      </c>
      <c r="C83" s="45" t="s">
        <v>562</v>
      </c>
      <c r="D83" s="46" t="s">
        <v>612</v>
      </c>
    </row>
    <row r="84" spans="1:4" x14ac:dyDescent="0.25">
      <c r="A84" s="44" t="s">
        <v>344</v>
      </c>
      <c r="B84" s="45" t="s">
        <v>122</v>
      </c>
      <c r="C84" s="45" t="s">
        <v>256</v>
      </c>
      <c r="D84" s="46" t="s">
        <v>540</v>
      </c>
    </row>
    <row r="85" spans="1:4" x14ac:dyDescent="0.25">
      <c r="A85" s="44" t="s">
        <v>313</v>
      </c>
      <c r="B85" s="45" t="s">
        <v>135</v>
      </c>
      <c r="C85" s="45" t="s">
        <v>123</v>
      </c>
      <c r="D85" s="46" t="s">
        <v>212</v>
      </c>
    </row>
    <row r="86" spans="1:4" x14ac:dyDescent="0.25">
      <c r="A86" s="44" t="s">
        <v>367</v>
      </c>
      <c r="B86" s="45" t="s">
        <v>105</v>
      </c>
      <c r="C86" s="45" t="s">
        <v>117</v>
      </c>
      <c r="D86" s="46" t="s">
        <v>540</v>
      </c>
    </row>
    <row r="87" spans="1:4" x14ac:dyDescent="0.25">
      <c r="A87" s="44" t="s">
        <v>289</v>
      </c>
      <c r="B87" s="45" t="s">
        <v>164</v>
      </c>
      <c r="C87" s="45" t="s">
        <v>125</v>
      </c>
      <c r="D87" s="46" t="s">
        <v>683</v>
      </c>
    </row>
    <row r="88" spans="1:4" x14ac:dyDescent="0.25">
      <c r="A88" s="44" t="s">
        <v>186</v>
      </c>
      <c r="B88" s="45" t="s">
        <v>127</v>
      </c>
      <c r="C88" s="45" t="s">
        <v>131</v>
      </c>
      <c r="D88" s="46" t="s">
        <v>433</v>
      </c>
    </row>
    <row r="89" spans="1:4" x14ac:dyDescent="0.25">
      <c r="A89" s="44" t="s">
        <v>377</v>
      </c>
      <c r="B89" s="45" t="s">
        <v>102</v>
      </c>
      <c r="C89" s="45" t="s">
        <v>240</v>
      </c>
      <c r="D89" s="46" t="s">
        <v>681</v>
      </c>
    </row>
    <row r="90" spans="1:4" x14ac:dyDescent="0.25">
      <c r="A90" s="44" t="s">
        <v>303</v>
      </c>
      <c r="B90" s="45" t="s">
        <v>101</v>
      </c>
      <c r="C90" s="45" t="s">
        <v>106</v>
      </c>
      <c r="D90" s="46" t="s">
        <v>587</v>
      </c>
    </row>
    <row r="91" spans="1:4" x14ac:dyDescent="0.25">
      <c r="A91" s="44" t="s">
        <v>338</v>
      </c>
      <c r="B91" s="45" t="s">
        <v>169</v>
      </c>
      <c r="C91" s="45" t="s">
        <v>235</v>
      </c>
      <c r="D91" s="46" t="s">
        <v>577</v>
      </c>
    </row>
    <row r="92" spans="1:4" x14ac:dyDescent="0.25">
      <c r="A92" s="44" t="s">
        <v>431</v>
      </c>
      <c r="B92" s="45" t="s">
        <v>105</v>
      </c>
      <c r="C92" s="45" t="s">
        <v>318</v>
      </c>
      <c r="D92" s="46" t="s">
        <v>540</v>
      </c>
    </row>
    <row r="93" spans="1:4" x14ac:dyDescent="0.25">
      <c r="A93" s="44" t="s">
        <v>505</v>
      </c>
      <c r="B93" s="45" t="s">
        <v>109</v>
      </c>
      <c r="C93" s="45" t="s">
        <v>427</v>
      </c>
      <c r="D93" s="46" t="s">
        <v>612</v>
      </c>
    </row>
    <row r="94" spans="1:4" x14ac:dyDescent="0.25">
      <c r="A94" s="44" t="s">
        <v>324</v>
      </c>
      <c r="B94" s="45" t="s">
        <v>152</v>
      </c>
      <c r="C94" s="45" t="s">
        <v>235</v>
      </c>
      <c r="D94" s="46" t="s">
        <v>587</v>
      </c>
    </row>
    <row r="95" spans="1:4" x14ac:dyDescent="0.25">
      <c r="A95" s="44" t="s">
        <v>663</v>
      </c>
      <c r="B95" s="45" t="s">
        <v>111</v>
      </c>
      <c r="C95" s="45" t="s">
        <v>446</v>
      </c>
      <c r="D95" s="46" t="s">
        <v>612</v>
      </c>
    </row>
    <row r="96" spans="1:4" x14ac:dyDescent="0.25">
      <c r="A96" s="44" t="s">
        <v>222</v>
      </c>
      <c r="B96" s="45" t="s">
        <v>92</v>
      </c>
      <c r="C96" s="45" t="s">
        <v>192</v>
      </c>
      <c r="D96" s="46" t="s">
        <v>681</v>
      </c>
    </row>
    <row r="97" spans="1:4" x14ac:dyDescent="0.25">
      <c r="A97" s="44" t="s">
        <v>277</v>
      </c>
      <c r="B97" s="45" t="s">
        <v>121</v>
      </c>
      <c r="C97" s="45" t="s">
        <v>196</v>
      </c>
      <c r="D97" s="46" t="s">
        <v>212</v>
      </c>
    </row>
    <row r="98" spans="1:4" x14ac:dyDescent="0.25">
      <c r="A98" s="44" t="s">
        <v>306</v>
      </c>
      <c r="B98" s="45" t="s">
        <v>160</v>
      </c>
      <c r="C98" s="45" t="s">
        <v>204</v>
      </c>
      <c r="D98" s="46" t="s">
        <v>685</v>
      </c>
    </row>
    <row r="99" spans="1:4" x14ac:dyDescent="0.25">
      <c r="A99" s="44" t="s">
        <v>572</v>
      </c>
      <c r="B99" s="45" t="s">
        <v>174</v>
      </c>
      <c r="C99" s="45" t="s">
        <v>203</v>
      </c>
      <c r="D99" s="46" t="s">
        <v>212</v>
      </c>
    </row>
    <row r="100" spans="1:4" x14ac:dyDescent="0.25">
      <c r="A100" s="44" t="s">
        <v>440</v>
      </c>
      <c r="B100" s="45" t="s">
        <v>169</v>
      </c>
      <c r="C100" s="45" t="s">
        <v>427</v>
      </c>
      <c r="D100" s="46" t="s">
        <v>577</v>
      </c>
    </row>
    <row r="101" spans="1:4" x14ac:dyDescent="0.25">
      <c r="A101" s="44" t="s">
        <v>576</v>
      </c>
      <c r="B101" s="45" t="s">
        <v>160</v>
      </c>
      <c r="C101" s="45" t="s">
        <v>388</v>
      </c>
      <c r="D101" s="46" t="s">
        <v>577</v>
      </c>
    </row>
    <row r="102" spans="1:4" x14ac:dyDescent="0.25">
      <c r="A102" s="44" t="s">
        <v>341</v>
      </c>
      <c r="B102" s="45" t="s">
        <v>135</v>
      </c>
      <c r="C102" s="45" t="s">
        <v>235</v>
      </c>
      <c r="D102" s="46" t="s">
        <v>681</v>
      </c>
    </row>
    <row r="103" spans="1:4" x14ac:dyDescent="0.25">
      <c r="A103" s="44" t="s">
        <v>494</v>
      </c>
      <c r="B103" s="45" t="s">
        <v>140</v>
      </c>
      <c r="C103" s="45" t="s">
        <v>281</v>
      </c>
      <c r="D103" s="46" t="s">
        <v>685</v>
      </c>
    </row>
    <row r="104" spans="1:4" x14ac:dyDescent="0.25">
      <c r="A104" s="44" t="s">
        <v>538</v>
      </c>
      <c r="B104" s="45" t="s">
        <v>95</v>
      </c>
      <c r="C104" s="45" t="s">
        <v>365</v>
      </c>
      <c r="D104" s="46" t="s">
        <v>488</v>
      </c>
    </row>
    <row r="105" spans="1:4" x14ac:dyDescent="0.25">
      <c r="A105" s="44" t="s">
        <v>559</v>
      </c>
      <c r="B105" s="45" t="s">
        <v>259</v>
      </c>
      <c r="C105" s="45" t="s">
        <v>224</v>
      </c>
      <c r="D105" s="46" t="s">
        <v>680</v>
      </c>
    </row>
    <row r="106" spans="1:4" x14ac:dyDescent="0.25">
      <c r="A106" s="44" t="s">
        <v>389</v>
      </c>
      <c r="B106" s="45" t="s">
        <v>156</v>
      </c>
      <c r="C106" s="45" t="s">
        <v>201</v>
      </c>
      <c r="D106" s="46" t="s">
        <v>683</v>
      </c>
    </row>
    <row r="107" spans="1:4" x14ac:dyDescent="0.25">
      <c r="A107" s="44" t="s">
        <v>419</v>
      </c>
      <c r="B107" s="45" t="s">
        <v>295</v>
      </c>
      <c r="C107" s="45" t="s">
        <v>161</v>
      </c>
      <c r="D107" s="46" t="s">
        <v>680</v>
      </c>
    </row>
    <row r="108" spans="1:4" x14ac:dyDescent="0.25">
      <c r="A108" s="44" t="s">
        <v>665</v>
      </c>
      <c r="B108" s="45" t="s">
        <v>279</v>
      </c>
      <c r="C108" s="45" t="s">
        <v>98</v>
      </c>
      <c r="D108" s="46" t="s">
        <v>612</v>
      </c>
    </row>
    <row r="109" spans="1:4" x14ac:dyDescent="0.25">
      <c r="A109" s="44" t="s">
        <v>144</v>
      </c>
      <c r="B109" s="45" t="s">
        <v>140</v>
      </c>
      <c r="C109" s="45" t="s">
        <v>148</v>
      </c>
      <c r="D109" s="46" t="s">
        <v>524</v>
      </c>
    </row>
    <row r="110" spans="1:4" x14ac:dyDescent="0.25">
      <c r="A110" s="44" t="s">
        <v>416</v>
      </c>
      <c r="B110" s="45" t="s">
        <v>101</v>
      </c>
      <c r="C110" s="45" t="s">
        <v>220</v>
      </c>
      <c r="D110" s="46" t="s">
        <v>540</v>
      </c>
    </row>
    <row r="111" spans="1:4" x14ac:dyDescent="0.25">
      <c r="A111" s="44" t="s">
        <v>455</v>
      </c>
      <c r="B111" s="45" t="s">
        <v>103</v>
      </c>
      <c r="C111" s="45" t="s">
        <v>203</v>
      </c>
      <c r="D111" s="46" t="s">
        <v>587</v>
      </c>
    </row>
    <row r="112" spans="1:4" x14ac:dyDescent="0.25">
      <c r="A112" s="44" t="s">
        <v>198</v>
      </c>
      <c r="B112" s="45" t="s">
        <v>121</v>
      </c>
      <c r="C112" s="45" t="s">
        <v>189</v>
      </c>
      <c r="D112" s="46" t="s">
        <v>488</v>
      </c>
    </row>
    <row r="113" spans="1:4" x14ac:dyDescent="0.25">
      <c r="A113" s="44" t="s">
        <v>444</v>
      </c>
      <c r="B113" s="45" t="s">
        <v>111</v>
      </c>
      <c r="C113" s="45" t="s">
        <v>282</v>
      </c>
      <c r="D113" s="46" t="s">
        <v>685</v>
      </c>
    </row>
    <row r="114" spans="1:4" x14ac:dyDescent="0.25">
      <c r="A114" s="44" t="s">
        <v>205</v>
      </c>
      <c r="B114" s="45" t="s">
        <v>206</v>
      </c>
      <c r="C114" s="45" t="s">
        <v>125</v>
      </c>
      <c r="D114" s="46" t="s">
        <v>433</v>
      </c>
    </row>
    <row r="115" spans="1:4" x14ac:dyDescent="0.25">
      <c r="A115" s="44" t="s">
        <v>403</v>
      </c>
      <c r="B115" s="45" t="s">
        <v>105</v>
      </c>
      <c r="C115" s="45" t="s">
        <v>240</v>
      </c>
      <c r="D115" s="46" t="s">
        <v>685</v>
      </c>
    </row>
    <row r="116" spans="1:4" ht="30" x14ac:dyDescent="0.25">
      <c r="A116" s="44" t="s">
        <v>525</v>
      </c>
      <c r="B116" s="45" t="s">
        <v>109</v>
      </c>
      <c r="C116" s="45" t="s">
        <v>235</v>
      </c>
      <c r="D116" s="46" t="s">
        <v>612</v>
      </c>
    </row>
    <row r="117" spans="1:4" x14ac:dyDescent="0.25">
      <c r="A117" s="44" t="s">
        <v>464</v>
      </c>
      <c r="B117" s="45" t="s">
        <v>136</v>
      </c>
      <c r="C117" s="45" t="s">
        <v>256</v>
      </c>
      <c r="D117" s="46" t="s">
        <v>577</v>
      </c>
    </row>
    <row r="118" spans="1:4" x14ac:dyDescent="0.25">
      <c r="A118" s="44" t="s">
        <v>297</v>
      </c>
      <c r="B118" s="45" t="s">
        <v>105</v>
      </c>
      <c r="C118" s="45" t="s">
        <v>185</v>
      </c>
      <c r="D118" s="46" t="s">
        <v>540</v>
      </c>
    </row>
    <row r="119" spans="1:4" x14ac:dyDescent="0.25">
      <c r="A119" s="44" t="s">
        <v>490</v>
      </c>
      <c r="B119" s="45" t="s">
        <v>145</v>
      </c>
      <c r="C119" s="45" t="s">
        <v>388</v>
      </c>
      <c r="D119" s="46" t="s">
        <v>685</v>
      </c>
    </row>
    <row r="120" spans="1:4" x14ac:dyDescent="0.25">
      <c r="A120" s="44" t="s">
        <v>613</v>
      </c>
      <c r="B120" s="45" t="s">
        <v>187</v>
      </c>
      <c r="C120" s="45" t="s">
        <v>533</v>
      </c>
      <c r="D120" s="46" t="s">
        <v>685</v>
      </c>
    </row>
    <row r="121" spans="1:4" x14ac:dyDescent="0.25">
      <c r="A121" s="44" t="s">
        <v>630</v>
      </c>
      <c r="B121" s="45" t="s">
        <v>158</v>
      </c>
      <c r="C121" s="45" t="s">
        <v>233</v>
      </c>
      <c r="D121" s="46" t="s">
        <v>685</v>
      </c>
    </row>
    <row r="122" spans="1:4" x14ac:dyDescent="0.25">
      <c r="A122" s="44" t="s">
        <v>597</v>
      </c>
      <c r="B122" s="45" t="s">
        <v>127</v>
      </c>
      <c r="C122" s="45" t="s">
        <v>281</v>
      </c>
      <c r="D122" s="46" t="s">
        <v>685</v>
      </c>
    </row>
    <row r="123" spans="1:4" x14ac:dyDescent="0.25">
      <c r="A123" s="44" t="s">
        <v>649</v>
      </c>
      <c r="B123" s="45" t="s">
        <v>145</v>
      </c>
      <c r="C123" s="45" t="s">
        <v>337</v>
      </c>
      <c r="D123" s="46" t="s">
        <v>577</v>
      </c>
    </row>
    <row r="124" spans="1:4" x14ac:dyDescent="0.25">
      <c r="A124" s="44" t="s">
        <v>371</v>
      </c>
      <c r="B124" s="45" t="s">
        <v>187</v>
      </c>
      <c r="C124" s="45" t="s">
        <v>256</v>
      </c>
      <c r="D124" s="46" t="s">
        <v>587</v>
      </c>
    </row>
    <row r="125" spans="1:4" x14ac:dyDescent="0.25">
      <c r="A125" s="44" t="s">
        <v>561</v>
      </c>
      <c r="B125" s="45" t="s">
        <v>160</v>
      </c>
      <c r="C125" s="45" t="s">
        <v>533</v>
      </c>
      <c r="D125" s="46" t="s">
        <v>577</v>
      </c>
    </row>
    <row r="126" spans="1:4" x14ac:dyDescent="0.25">
      <c r="A126" s="44" t="s">
        <v>268</v>
      </c>
      <c r="B126" s="45" t="s">
        <v>91</v>
      </c>
      <c r="C126" s="45">
        <v>0</v>
      </c>
      <c r="D126" s="46" t="s">
        <v>474</v>
      </c>
    </row>
    <row r="127" spans="1:4" x14ac:dyDescent="0.25">
      <c r="A127" s="44" t="s">
        <v>356</v>
      </c>
      <c r="B127" s="45" t="s">
        <v>169</v>
      </c>
      <c r="C127" s="45" t="s">
        <v>235</v>
      </c>
      <c r="D127" s="46" t="s">
        <v>681</v>
      </c>
    </row>
    <row r="128" spans="1:4" x14ac:dyDescent="0.25">
      <c r="A128" s="44" t="s">
        <v>675</v>
      </c>
      <c r="B128" s="45" t="s">
        <v>139</v>
      </c>
      <c r="C128" s="45" t="s">
        <v>318</v>
      </c>
      <c r="D128" s="46" t="s">
        <v>577</v>
      </c>
    </row>
    <row r="129" spans="1:4" x14ac:dyDescent="0.25">
      <c r="A129" s="44" t="s">
        <v>614</v>
      </c>
      <c r="B129" s="45" t="s">
        <v>128</v>
      </c>
      <c r="C129" s="45" t="s">
        <v>202</v>
      </c>
      <c r="D129" s="46" t="s">
        <v>577</v>
      </c>
    </row>
    <row r="130" spans="1:4" x14ac:dyDescent="0.25">
      <c r="A130" s="44" t="s">
        <v>375</v>
      </c>
      <c r="B130" s="45" t="s">
        <v>158</v>
      </c>
      <c r="C130" s="45" t="s">
        <v>196</v>
      </c>
      <c r="D130" s="46" t="s">
        <v>612</v>
      </c>
    </row>
    <row r="131" spans="1:4" x14ac:dyDescent="0.25">
      <c r="A131" s="44" t="s">
        <v>569</v>
      </c>
      <c r="B131" s="45" t="s">
        <v>164</v>
      </c>
      <c r="C131" s="45" t="s">
        <v>408</v>
      </c>
      <c r="D131" s="46" t="s">
        <v>540</v>
      </c>
    </row>
    <row r="132" spans="1:4" x14ac:dyDescent="0.25">
      <c r="A132" s="44" t="s">
        <v>301</v>
      </c>
      <c r="B132" s="45" t="s">
        <v>109</v>
      </c>
      <c r="C132" s="45" t="s">
        <v>245</v>
      </c>
      <c r="D132" s="46" t="s">
        <v>540</v>
      </c>
    </row>
    <row r="133" spans="1:4" x14ac:dyDescent="0.25">
      <c r="A133" s="44" t="s">
        <v>592</v>
      </c>
      <c r="B133" s="45" t="s">
        <v>141</v>
      </c>
      <c r="C133" s="45" t="s">
        <v>281</v>
      </c>
      <c r="D133" s="46" t="s">
        <v>685</v>
      </c>
    </row>
    <row r="134" spans="1:4" x14ac:dyDescent="0.25">
      <c r="A134" s="44" t="s">
        <v>316</v>
      </c>
      <c r="B134" s="45" t="s">
        <v>176</v>
      </c>
      <c r="C134" s="45" t="s">
        <v>196</v>
      </c>
      <c r="D134" s="46" t="s">
        <v>680</v>
      </c>
    </row>
    <row r="135" spans="1:4" x14ac:dyDescent="0.25">
      <c r="A135" s="44" t="s">
        <v>307</v>
      </c>
      <c r="B135" s="45" t="s">
        <v>136</v>
      </c>
      <c r="C135" s="45" t="s">
        <v>204</v>
      </c>
      <c r="D135" s="46" t="s">
        <v>612</v>
      </c>
    </row>
    <row r="136" spans="1:4" x14ac:dyDescent="0.25">
      <c r="A136" s="44" t="s">
        <v>615</v>
      </c>
      <c r="B136" s="45" t="s">
        <v>164</v>
      </c>
      <c r="C136" s="45" t="s">
        <v>460</v>
      </c>
      <c r="D136" s="46" t="s">
        <v>685</v>
      </c>
    </row>
    <row r="137" spans="1:4" x14ac:dyDescent="0.25">
      <c r="A137" s="44" t="s">
        <v>604</v>
      </c>
      <c r="B137" s="45" t="s">
        <v>140</v>
      </c>
      <c r="C137" s="45" t="s">
        <v>365</v>
      </c>
      <c r="D137" s="46" t="s">
        <v>577</v>
      </c>
    </row>
    <row r="138" spans="1:4" x14ac:dyDescent="0.25">
      <c r="A138" s="44" t="s">
        <v>126</v>
      </c>
      <c r="B138" s="45" t="s">
        <v>129</v>
      </c>
      <c r="C138" s="45" t="s">
        <v>132</v>
      </c>
      <c r="D138" s="46" t="s">
        <v>634</v>
      </c>
    </row>
    <row r="139" spans="1:4" x14ac:dyDescent="0.25">
      <c r="A139" s="44" t="s">
        <v>541</v>
      </c>
      <c r="B139" s="45" t="s">
        <v>111</v>
      </c>
      <c r="C139" s="45" t="s">
        <v>427</v>
      </c>
      <c r="D139" s="46" t="s">
        <v>685</v>
      </c>
    </row>
    <row r="140" spans="1:4" x14ac:dyDescent="0.25">
      <c r="A140" s="44" t="s">
        <v>322</v>
      </c>
      <c r="B140" s="45" t="s">
        <v>151</v>
      </c>
      <c r="C140" s="45" t="s">
        <v>117</v>
      </c>
      <c r="D140" s="46" t="s">
        <v>612</v>
      </c>
    </row>
    <row r="141" spans="1:4" x14ac:dyDescent="0.25">
      <c r="A141" s="44" t="s">
        <v>547</v>
      </c>
      <c r="B141" s="45" t="s">
        <v>164</v>
      </c>
      <c r="C141" s="45" t="s">
        <v>235</v>
      </c>
      <c r="D141" s="46" t="s">
        <v>540</v>
      </c>
    </row>
    <row r="142" spans="1:4" x14ac:dyDescent="0.25">
      <c r="A142" s="44" t="s">
        <v>216</v>
      </c>
      <c r="B142" s="45" t="s">
        <v>101</v>
      </c>
      <c r="C142" s="45" t="s">
        <v>217</v>
      </c>
      <c r="D142" s="46" t="s">
        <v>608</v>
      </c>
    </row>
    <row r="143" spans="1:4" x14ac:dyDescent="0.25">
      <c r="A143" s="44" t="s">
        <v>636</v>
      </c>
      <c r="B143" s="45" t="s">
        <v>207</v>
      </c>
      <c r="C143" s="45" t="s">
        <v>223</v>
      </c>
      <c r="D143" s="46" t="s">
        <v>682</v>
      </c>
    </row>
    <row r="144" spans="1:4" x14ac:dyDescent="0.25">
      <c r="A144" s="44" t="s">
        <v>272</v>
      </c>
      <c r="B144" s="45" t="s">
        <v>136</v>
      </c>
      <c r="C144" s="45" t="s">
        <v>226</v>
      </c>
      <c r="D144" s="46" t="s">
        <v>685</v>
      </c>
    </row>
    <row r="145" spans="1:4" x14ac:dyDescent="0.25">
      <c r="A145" s="44" t="s">
        <v>405</v>
      </c>
      <c r="B145" s="45" t="s">
        <v>109</v>
      </c>
      <c r="C145" s="45" t="s">
        <v>117</v>
      </c>
      <c r="D145" s="46" t="s">
        <v>577</v>
      </c>
    </row>
    <row r="146" spans="1:4" x14ac:dyDescent="0.25">
      <c r="A146" s="44" t="s">
        <v>668</v>
      </c>
      <c r="B146" s="45" t="s">
        <v>206</v>
      </c>
      <c r="C146" s="45" t="s">
        <v>224</v>
      </c>
      <c r="D146" s="46" t="s">
        <v>685</v>
      </c>
    </row>
    <row r="147" spans="1:4" x14ac:dyDescent="0.25">
      <c r="A147" s="44" t="s">
        <v>489</v>
      </c>
      <c r="B147" s="45" t="s">
        <v>111</v>
      </c>
      <c r="C147" s="45" t="s">
        <v>408</v>
      </c>
      <c r="D147" s="46" t="s">
        <v>682</v>
      </c>
    </row>
    <row r="148" spans="1:4" x14ac:dyDescent="0.25">
      <c r="A148" s="44" t="s">
        <v>449</v>
      </c>
      <c r="B148" s="45" t="s">
        <v>91</v>
      </c>
      <c r="C148" s="45" t="s">
        <v>318</v>
      </c>
      <c r="D148" s="46" t="s">
        <v>540</v>
      </c>
    </row>
    <row r="149" spans="1:4" x14ac:dyDescent="0.25">
      <c r="A149" s="44" t="s">
        <v>331</v>
      </c>
      <c r="B149" s="45" t="s">
        <v>152</v>
      </c>
      <c r="C149" s="45" t="s">
        <v>117</v>
      </c>
      <c r="D149" s="46" t="s">
        <v>685</v>
      </c>
    </row>
    <row r="150" spans="1:4" x14ac:dyDescent="0.25">
      <c r="A150" s="44" t="s">
        <v>385</v>
      </c>
      <c r="B150" s="45" t="s">
        <v>129</v>
      </c>
      <c r="C150" s="45" t="s">
        <v>233</v>
      </c>
      <c r="D150" s="46" t="s">
        <v>577</v>
      </c>
    </row>
    <row r="151" spans="1:4" x14ac:dyDescent="0.25">
      <c r="A151" s="44" t="s">
        <v>209</v>
      </c>
      <c r="B151" s="45" t="s">
        <v>102</v>
      </c>
      <c r="C151" s="45" t="s">
        <v>123</v>
      </c>
      <c r="D151" s="46" t="s">
        <v>212</v>
      </c>
    </row>
    <row r="152" spans="1:4" x14ac:dyDescent="0.25">
      <c r="A152" s="44" t="s">
        <v>478</v>
      </c>
      <c r="B152" s="45" t="s">
        <v>156</v>
      </c>
      <c r="C152" s="45" t="s">
        <v>282</v>
      </c>
      <c r="D152" s="46" t="s">
        <v>433</v>
      </c>
    </row>
    <row r="153" spans="1:4" x14ac:dyDescent="0.25">
      <c r="A153" s="44" t="s">
        <v>108</v>
      </c>
      <c r="B153" s="45" t="s">
        <v>102</v>
      </c>
      <c r="C153" s="45" t="s">
        <v>113</v>
      </c>
      <c r="D153" s="46" t="s">
        <v>608</v>
      </c>
    </row>
    <row r="154" spans="1:4" x14ac:dyDescent="0.25">
      <c r="A154" s="44" t="s">
        <v>395</v>
      </c>
      <c r="B154" s="45" t="s">
        <v>140</v>
      </c>
      <c r="C154" s="45" t="s">
        <v>235</v>
      </c>
      <c r="D154" s="46" t="s">
        <v>577</v>
      </c>
    </row>
    <row r="155" spans="1:4" x14ac:dyDescent="0.25">
      <c r="A155" s="44" t="s">
        <v>263</v>
      </c>
      <c r="B155" s="45" t="s">
        <v>158</v>
      </c>
      <c r="C155" s="45" t="s">
        <v>123</v>
      </c>
      <c r="D155" s="46" t="s">
        <v>681</v>
      </c>
    </row>
    <row r="156" spans="1:4" x14ac:dyDescent="0.25">
      <c r="A156" s="44" t="s">
        <v>410</v>
      </c>
      <c r="B156" s="45" t="s">
        <v>109</v>
      </c>
      <c r="C156" s="45" t="s">
        <v>282</v>
      </c>
      <c r="D156" s="46" t="s">
        <v>587</v>
      </c>
    </row>
    <row r="157" spans="1:4" x14ac:dyDescent="0.25">
      <c r="A157" s="44" t="s">
        <v>667</v>
      </c>
      <c r="B157" s="45" t="s">
        <v>128</v>
      </c>
      <c r="C157" s="45" t="s">
        <v>223</v>
      </c>
      <c r="D157" s="46" t="s">
        <v>685</v>
      </c>
    </row>
    <row r="158" spans="1:4" x14ac:dyDescent="0.25">
      <c r="A158" s="44" t="s">
        <v>319</v>
      </c>
      <c r="B158" s="45" t="s">
        <v>101</v>
      </c>
      <c r="C158" s="45" t="s">
        <v>117</v>
      </c>
      <c r="D158" s="46" t="s">
        <v>540</v>
      </c>
    </row>
    <row r="159" spans="1:4" x14ac:dyDescent="0.25">
      <c r="A159" s="44" t="s">
        <v>450</v>
      </c>
      <c r="B159" s="45" t="s">
        <v>141</v>
      </c>
      <c r="C159" s="45" t="s">
        <v>203</v>
      </c>
      <c r="D159" s="46" t="s">
        <v>577</v>
      </c>
    </row>
    <row r="160" spans="1:4" x14ac:dyDescent="0.25">
      <c r="A160" s="44" t="s">
        <v>247</v>
      </c>
      <c r="B160" s="45" t="s">
        <v>169</v>
      </c>
      <c r="C160" s="45" t="s">
        <v>226</v>
      </c>
      <c r="D160" s="46" t="s">
        <v>433</v>
      </c>
    </row>
    <row r="161" spans="1:4" x14ac:dyDescent="0.25">
      <c r="A161" s="44" t="s">
        <v>199</v>
      </c>
      <c r="B161" s="45" t="s">
        <v>104</v>
      </c>
      <c r="C161" s="45" t="s">
        <v>143</v>
      </c>
      <c r="D161" s="46" t="s">
        <v>550</v>
      </c>
    </row>
    <row r="162" spans="1:4" x14ac:dyDescent="0.25">
      <c r="A162" s="44" t="s">
        <v>269</v>
      </c>
      <c r="B162" s="45" t="s">
        <v>136</v>
      </c>
      <c r="C162" s="45" t="s">
        <v>204</v>
      </c>
      <c r="D162" s="46" t="s">
        <v>577</v>
      </c>
    </row>
    <row r="163" spans="1:4" x14ac:dyDescent="0.25">
      <c r="A163" s="44" t="s">
        <v>448</v>
      </c>
      <c r="B163" s="45" t="s">
        <v>109</v>
      </c>
      <c r="C163" s="45" t="s">
        <v>203</v>
      </c>
      <c r="D163" s="46" t="s">
        <v>685</v>
      </c>
    </row>
    <row r="164" spans="1:4" x14ac:dyDescent="0.25">
      <c r="A164" s="44" t="s">
        <v>578</v>
      </c>
      <c r="B164" s="45" t="s">
        <v>176</v>
      </c>
      <c r="C164" s="45" t="s">
        <v>282</v>
      </c>
      <c r="D164" s="46" t="s">
        <v>577</v>
      </c>
    </row>
    <row r="165" spans="1:4" x14ac:dyDescent="0.25">
      <c r="A165" s="44" t="s">
        <v>311</v>
      </c>
      <c r="B165" s="45" t="s">
        <v>91</v>
      </c>
      <c r="C165" s="45" t="s">
        <v>189</v>
      </c>
      <c r="D165" s="46" t="s">
        <v>488</v>
      </c>
    </row>
    <row r="166" spans="1:4" x14ac:dyDescent="0.25">
      <c r="A166" s="44" t="s">
        <v>414</v>
      </c>
      <c r="B166" s="45" t="s">
        <v>105</v>
      </c>
      <c r="C166" s="45" t="s">
        <v>203</v>
      </c>
      <c r="D166" s="46" t="s">
        <v>540</v>
      </c>
    </row>
    <row r="167" spans="1:4" x14ac:dyDescent="0.25">
      <c r="A167" s="44" t="s">
        <v>581</v>
      </c>
      <c r="B167" s="45" t="s">
        <v>156</v>
      </c>
      <c r="C167" s="45" t="s">
        <v>337</v>
      </c>
      <c r="D167" s="46" t="s">
        <v>612</v>
      </c>
    </row>
    <row r="168" spans="1:4" x14ac:dyDescent="0.25">
      <c r="A168" s="44" t="s">
        <v>435</v>
      </c>
      <c r="B168" s="45" t="s">
        <v>129</v>
      </c>
      <c r="C168" s="45" t="s">
        <v>235</v>
      </c>
      <c r="D168" s="46" t="s">
        <v>577</v>
      </c>
    </row>
    <row r="169" spans="1:4" x14ac:dyDescent="0.25">
      <c r="A169" s="44" t="s">
        <v>621</v>
      </c>
      <c r="B169" s="45" t="s">
        <v>110</v>
      </c>
      <c r="C169" s="45" t="s">
        <v>203</v>
      </c>
      <c r="D169" s="46" t="s">
        <v>685</v>
      </c>
    </row>
    <row r="170" spans="1:4" x14ac:dyDescent="0.25">
      <c r="A170" s="44" t="s">
        <v>677</v>
      </c>
      <c r="B170" s="45" t="s">
        <v>110</v>
      </c>
      <c r="C170" s="45">
        <v>0</v>
      </c>
      <c r="D170" s="46" t="s">
        <v>488</v>
      </c>
    </row>
    <row r="171" spans="1:4" x14ac:dyDescent="0.25">
      <c r="A171" s="44" t="s">
        <v>332</v>
      </c>
      <c r="B171" s="45" t="s">
        <v>111</v>
      </c>
      <c r="C171" s="45" t="s">
        <v>117</v>
      </c>
      <c r="D171" s="46" t="s">
        <v>682</v>
      </c>
    </row>
    <row r="172" spans="1:4" x14ac:dyDescent="0.25">
      <c r="A172" s="44" t="s">
        <v>544</v>
      </c>
      <c r="B172" s="45" t="s">
        <v>105</v>
      </c>
      <c r="C172" s="45" t="s">
        <v>224</v>
      </c>
      <c r="D172" s="46" t="s">
        <v>433</v>
      </c>
    </row>
    <row r="173" spans="1:4" x14ac:dyDescent="0.25">
      <c r="A173" s="44" t="s">
        <v>498</v>
      </c>
      <c r="B173" s="45" t="s">
        <v>129</v>
      </c>
      <c r="C173" s="45" t="s">
        <v>201</v>
      </c>
      <c r="D173" s="46" t="s">
        <v>587</v>
      </c>
    </row>
    <row r="174" spans="1:4" x14ac:dyDescent="0.25">
      <c r="A174" s="44" t="s">
        <v>537</v>
      </c>
      <c r="B174" s="45" t="s">
        <v>127</v>
      </c>
      <c r="C174" s="45" t="s">
        <v>446</v>
      </c>
      <c r="D174" s="46" t="s">
        <v>540</v>
      </c>
    </row>
    <row r="175" spans="1:4" x14ac:dyDescent="0.25">
      <c r="A175" s="44" t="s">
        <v>465</v>
      </c>
      <c r="B175" s="45" t="s">
        <v>139</v>
      </c>
      <c r="C175" s="45" t="s">
        <v>388</v>
      </c>
      <c r="D175" s="46" t="s">
        <v>685</v>
      </c>
    </row>
    <row r="176" spans="1:4" ht="30" x14ac:dyDescent="0.25">
      <c r="A176" s="44" t="s">
        <v>496</v>
      </c>
      <c r="B176" s="45" t="s">
        <v>151</v>
      </c>
      <c r="C176" s="45" t="s">
        <v>240</v>
      </c>
      <c r="D176" s="46" t="s">
        <v>577</v>
      </c>
    </row>
    <row r="177" spans="1:4" x14ac:dyDescent="0.25">
      <c r="A177" s="44" t="s">
        <v>361</v>
      </c>
      <c r="B177" s="45" t="s">
        <v>141</v>
      </c>
      <c r="C177" s="45" t="s">
        <v>256</v>
      </c>
      <c r="D177" s="46" t="s">
        <v>685</v>
      </c>
    </row>
    <row r="178" spans="1:4" x14ac:dyDescent="0.25">
      <c r="A178" s="44" t="s">
        <v>658</v>
      </c>
      <c r="B178" s="45" t="s">
        <v>151</v>
      </c>
      <c r="C178" s="45" t="s">
        <v>427</v>
      </c>
      <c r="D178" s="46" t="s">
        <v>577</v>
      </c>
    </row>
    <row r="179" spans="1:4" x14ac:dyDescent="0.25">
      <c r="A179" s="44" t="s">
        <v>304</v>
      </c>
      <c r="B179" s="45" t="s">
        <v>121</v>
      </c>
      <c r="C179" s="45" t="s">
        <v>256</v>
      </c>
      <c r="D179" s="46" t="s">
        <v>433</v>
      </c>
    </row>
    <row r="180" spans="1:4" x14ac:dyDescent="0.25">
      <c r="A180" s="44" t="s">
        <v>210</v>
      </c>
      <c r="B180" s="45" t="s">
        <v>109</v>
      </c>
      <c r="C180" s="45" t="s">
        <v>106</v>
      </c>
      <c r="D180" s="46" t="s">
        <v>486</v>
      </c>
    </row>
    <row r="181" spans="1:4" x14ac:dyDescent="0.25">
      <c r="A181" s="44" t="s">
        <v>302</v>
      </c>
      <c r="B181" s="45" t="s">
        <v>109</v>
      </c>
      <c r="C181" s="45" t="s">
        <v>217</v>
      </c>
      <c r="D181" s="46" t="s">
        <v>685</v>
      </c>
    </row>
    <row r="182" spans="1:4" x14ac:dyDescent="0.25">
      <c r="A182" s="44" t="s">
        <v>330</v>
      </c>
      <c r="B182" s="45" t="s">
        <v>103</v>
      </c>
      <c r="C182" s="45" t="s">
        <v>256</v>
      </c>
      <c r="D182" s="46" t="s">
        <v>212</v>
      </c>
    </row>
    <row r="183" spans="1:4" x14ac:dyDescent="0.25">
      <c r="A183" s="44" t="s">
        <v>354</v>
      </c>
      <c r="B183" s="45" t="s">
        <v>127</v>
      </c>
      <c r="C183" s="45" t="s">
        <v>245</v>
      </c>
      <c r="D183" s="46" t="s">
        <v>682</v>
      </c>
    </row>
    <row r="184" spans="1:4" x14ac:dyDescent="0.25">
      <c r="A184" s="44" t="s">
        <v>326</v>
      </c>
      <c r="B184" s="45" t="s">
        <v>129</v>
      </c>
      <c r="C184" s="45" t="s">
        <v>251</v>
      </c>
      <c r="D184" s="46" t="s">
        <v>540</v>
      </c>
    </row>
    <row r="185" spans="1:4" x14ac:dyDescent="0.25">
      <c r="A185" s="44" t="s">
        <v>264</v>
      </c>
      <c r="B185" s="45" t="s">
        <v>128</v>
      </c>
      <c r="C185" s="45" t="s">
        <v>204</v>
      </c>
      <c r="D185" s="46" t="s">
        <v>612</v>
      </c>
    </row>
    <row r="186" spans="1:4" x14ac:dyDescent="0.25">
      <c r="A186" s="44" t="s">
        <v>607</v>
      </c>
      <c r="B186" s="45" t="s">
        <v>139</v>
      </c>
      <c r="C186" s="45" t="s">
        <v>97</v>
      </c>
      <c r="D186" s="46" t="s">
        <v>682</v>
      </c>
    </row>
    <row r="187" spans="1:4" x14ac:dyDescent="0.25">
      <c r="A187" s="44" t="s">
        <v>624</v>
      </c>
      <c r="B187" s="45" t="s">
        <v>95</v>
      </c>
      <c r="C187" s="45" t="s">
        <v>232</v>
      </c>
      <c r="D187" s="46" t="s">
        <v>612</v>
      </c>
    </row>
    <row r="188" spans="1:4" x14ac:dyDescent="0.25">
      <c r="A188" s="44" t="s">
        <v>473</v>
      </c>
      <c r="B188" s="45" t="s">
        <v>92</v>
      </c>
      <c r="C188" s="45" t="s">
        <v>365</v>
      </c>
      <c r="D188" s="46" t="s">
        <v>212</v>
      </c>
    </row>
    <row r="189" spans="1:4" x14ac:dyDescent="0.25">
      <c r="A189" s="44" t="s">
        <v>479</v>
      </c>
      <c r="B189" s="45" t="s">
        <v>160</v>
      </c>
      <c r="C189" s="45" t="s">
        <v>203</v>
      </c>
      <c r="D189" s="46" t="s">
        <v>433</v>
      </c>
    </row>
    <row r="190" spans="1:4" x14ac:dyDescent="0.25">
      <c r="A190" s="44" t="s">
        <v>491</v>
      </c>
      <c r="B190" s="45" t="s">
        <v>158</v>
      </c>
      <c r="C190" s="45" t="s">
        <v>256</v>
      </c>
      <c r="D190" s="46" t="s">
        <v>685</v>
      </c>
    </row>
    <row r="191" spans="1:4" x14ac:dyDescent="0.25">
      <c r="A191" s="44" t="s">
        <v>643</v>
      </c>
      <c r="B191" s="45" t="s">
        <v>158</v>
      </c>
      <c r="C191" s="45" t="s">
        <v>337</v>
      </c>
      <c r="D191" s="46" t="s">
        <v>685</v>
      </c>
    </row>
    <row r="192" spans="1:4" x14ac:dyDescent="0.25">
      <c r="A192" s="44" t="s">
        <v>647</v>
      </c>
      <c r="B192" s="45" t="s">
        <v>105</v>
      </c>
      <c r="C192" s="45" t="s">
        <v>337</v>
      </c>
      <c r="D192" s="46" t="s">
        <v>612</v>
      </c>
    </row>
    <row r="193" spans="1:4" x14ac:dyDescent="0.25">
      <c r="A193" s="44" t="s">
        <v>666</v>
      </c>
      <c r="B193" s="45" t="s">
        <v>295</v>
      </c>
      <c r="C193" s="45" t="s">
        <v>219</v>
      </c>
      <c r="D193" s="46" t="s">
        <v>577</v>
      </c>
    </row>
    <row r="194" spans="1:4" x14ac:dyDescent="0.25">
      <c r="A194" s="44" t="s">
        <v>411</v>
      </c>
      <c r="B194" s="45" t="s">
        <v>172</v>
      </c>
      <c r="C194" s="45" t="s">
        <v>287</v>
      </c>
      <c r="D194" s="46" t="s">
        <v>486</v>
      </c>
    </row>
    <row r="195" spans="1:4" x14ac:dyDescent="0.25">
      <c r="A195" s="44" t="s">
        <v>418</v>
      </c>
      <c r="B195" s="45" t="s">
        <v>136</v>
      </c>
      <c r="C195" s="45" t="s">
        <v>220</v>
      </c>
      <c r="D195" s="46" t="s">
        <v>212</v>
      </c>
    </row>
    <row r="196" spans="1:4" x14ac:dyDescent="0.25">
      <c r="A196" s="44" t="s">
        <v>237</v>
      </c>
      <c r="B196" s="45" t="s">
        <v>128</v>
      </c>
      <c r="C196" s="45" t="s">
        <v>192</v>
      </c>
      <c r="D196" s="46" t="s">
        <v>612</v>
      </c>
    </row>
    <row r="197" spans="1:4" x14ac:dyDescent="0.25">
      <c r="A197" s="44" t="s">
        <v>271</v>
      </c>
      <c r="B197" s="45" t="s">
        <v>151</v>
      </c>
      <c r="C197" s="45" t="s">
        <v>189</v>
      </c>
      <c r="D197" s="46" t="s">
        <v>612</v>
      </c>
    </row>
    <row r="198" spans="1:4" x14ac:dyDescent="0.25">
      <c r="A198" s="44" t="s">
        <v>173</v>
      </c>
      <c r="B198" s="45" t="s">
        <v>92</v>
      </c>
      <c r="C198" s="45" t="s">
        <v>124</v>
      </c>
      <c r="D198" s="46" t="s">
        <v>433</v>
      </c>
    </row>
    <row r="199" spans="1:4" x14ac:dyDescent="0.25">
      <c r="A199" s="44" t="s">
        <v>353</v>
      </c>
      <c r="B199" s="45" t="s">
        <v>103</v>
      </c>
      <c r="C199" s="45" t="s">
        <v>240</v>
      </c>
      <c r="D199" s="46" t="s">
        <v>577</v>
      </c>
    </row>
    <row r="200" spans="1:4" x14ac:dyDescent="0.25">
      <c r="A200" s="44" t="s">
        <v>629</v>
      </c>
      <c r="B200" s="45" t="s">
        <v>206</v>
      </c>
      <c r="C200" s="45" t="s">
        <v>98</v>
      </c>
      <c r="D200" s="46" t="s">
        <v>681</v>
      </c>
    </row>
    <row r="201" spans="1:4" x14ac:dyDescent="0.25">
      <c r="A201" s="44" t="s">
        <v>355</v>
      </c>
      <c r="B201" s="45" t="s">
        <v>141</v>
      </c>
      <c r="C201" s="45" t="s">
        <v>117</v>
      </c>
      <c r="D201" s="46" t="s">
        <v>577</v>
      </c>
    </row>
    <row r="202" spans="1:4" x14ac:dyDescent="0.25">
      <c r="A202" s="44" t="s">
        <v>400</v>
      </c>
      <c r="B202" s="45" t="s">
        <v>187</v>
      </c>
      <c r="C202" s="45" t="s">
        <v>217</v>
      </c>
      <c r="D202" s="46" t="s">
        <v>433</v>
      </c>
    </row>
    <row r="203" spans="1:4" x14ac:dyDescent="0.25">
      <c r="A203" s="44" t="s">
        <v>609</v>
      </c>
      <c r="B203" s="45" t="s">
        <v>136</v>
      </c>
      <c r="C203" s="45" t="s">
        <v>233</v>
      </c>
      <c r="D203" s="46" t="s">
        <v>577</v>
      </c>
    </row>
    <row r="204" spans="1:4" x14ac:dyDescent="0.25">
      <c r="A204" s="44" t="s">
        <v>482</v>
      </c>
      <c r="B204" s="45" t="s">
        <v>164</v>
      </c>
      <c r="C204" s="45" t="s">
        <v>251</v>
      </c>
      <c r="D204" s="46" t="s">
        <v>685</v>
      </c>
    </row>
    <row r="205" spans="1:4" x14ac:dyDescent="0.25">
      <c r="A205" s="44" t="s">
        <v>459</v>
      </c>
      <c r="B205" s="45" t="s">
        <v>158</v>
      </c>
      <c r="C205" s="45" t="s">
        <v>460</v>
      </c>
      <c r="D205" s="46" t="s">
        <v>685</v>
      </c>
    </row>
    <row r="206" spans="1:4" x14ac:dyDescent="0.25">
      <c r="A206" s="44" t="s">
        <v>236</v>
      </c>
      <c r="B206" s="45" t="s">
        <v>152</v>
      </c>
      <c r="C206" s="45" t="s">
        <v>196</v>
      </c>
      <c r="D206" s="46" t="s">
        <v>612</v>
      </c>
    </row>
    <row r="207" spans="1:4" x14ac:dyDescent="0.25">
      <c r="A207" s="44" t="s">
        <v>438</v>
      </c>
      <c r="B207" s="45" t="s">
        <v>160</v>
      </c>
      <c r="C207" s="45" t="s">
        <v>196</v>
      </c>
      <c r="D207" s="46" t="s">
        <v>433</v>
      </c>
    </row>
    <row r="208" spans="1:4" x14ac:dyDescent="0.25">
      <c r="A208" s="44" t="s">
        <v>90</v>
      </c>
      <c r="B208" s="45" t="s">
        <v>94</v>
      </c>
      <c r="C208" s="45" t="s">
        <v>99</v>
      </c>
      <c r="D208" s="46" t="s">
        <v>524</v>
      </c>
    </row>
    <row r="209" spans="1:4" x14ac:dyDescent="0.25">
      <c r="A209" s="44" t="s">
        <v>362</v>
      </c>
      <c r="B209" s="45" t="s">
        <v>103</v>
      </c>
      <c r="C209" s="45" t="s">
        <v>318</v>
      </c>
      <c r="D209" s="46" t="s">
        <v>488</v>
      </c>
    </row>
    <row r="210" spans="1:4" x14ac:dyDescent="0.25">
      <c r="A210" s="44" t="s">
        <v>284</v>
      </c>
      <c r="B210" s="45" t="s">
        <v>169</v>
      </c>
      <c r="C210" s="45" t="s">
        <v>220</v>
      </c>
      <c r="D210" s="46" t="s">
        <v>486</v>
      </c>
    </row>
    <row r="211" spans="1:4" x14ac:dyDescent="0.25">
      <c r="A211" s="44" t="s">
        <v>644</v>
      </c>
      <c r="B211" s="45" t="s">
        <v>110</v>
      </c>
      <c r="C211" s="45" t="s">
        <v>232</v>
      </c>
      <c r="D211" s="46" t="s">
        <v>681</v>
      </c>
    </row>
    <row r="212" spans="1:4" x14ac:dyDescent="0.25">
      <c r="A212" s="44" t="s">
        <v>363</v>
      </c>
      <c r="B212" s="45" t="s">
        <v>93</v>
      </c>
      <c r="C212" s="45" t="s">
        <v>282</v>
      </c>
      <c r="D212" s="46" t="s">
        <v>474</v>
      </c>
    </row>
    <row r="213" spans="1:4" x14ac:dyDescent="0.25">
      <c r="A213" s="44" t="s">
        <v>456</v>
      </c>
      <c r="B213" s="45" t="s">
        <v>103</v>
      </c>
      <c r="C213" s="45" t="s">
        <v>388</v>
      </c>
      <c r="D213" s="46" t="s">
        <v>682</v>
      </c>
    </row>
    <row r="214" spans="1:4" x14ac:dyDescent="0.25">
      <c r="A214" s="44" t="s">
        <v>512</v>
      </c>
      <c r="B214" s="45" t="s">
        <v>145</v>
      </c>
      <c r="C214" s="45" t="s">
        <v>460</v>
      </c>
      <c r="D214" s="46" t="s">
        <v>577</v>
      </c>
    </row>
    <row r="215" spans="1:4" x14ac:dyDescent="0.25">
      <c r="A215" s="44" t="s">
        <v>567</v>
      </c>
      <c r="B215" s="45" t="s">
        <v>96</v>
      </c>
      <c r="C215" s="45" t="s">
        <v>427</v>
      </c>
      <c r="D215" s="46" t="s">
        <v>577</v>
      </c>
    </row>
    <row r="216" spans="1:4" x14ac:dyDescent="0.25">
      <c r="A216" s="44" t="s">
        <v>347</v>
      </c>
      <c r="B216" s="45" t="s">
        <v>141</v>
      </c>
      <c r="C216" s="45" t="s">
        <v>161</v>
      </c>
      <c r="D216" s="46" t="s">
        <v>577</v>
      </c>
    </row>
    <row r="217" spans="1:4" x14ac:dyDescent="0.25">
      <c r="A217" s="44" t="s">
        <v>184</v>
      </c>
      <c r="B217" s="45" t="s">
        <v>93</v>
      </c>
      <c r="C217" s="45">
        <v>0</v>
      </c>
      <c r="D217" s="46" t="s">
        <v>488</v>
      </c>
    </row>
    <row r="218" spans="1:4" x14ac:dyDescent="0.25">
      <c r="A218" s="44" t="s">
        <v>531</v>
      </c>
      <c r="B218" s="45" t="s">
        <v>206</v>
      </c>
      <c r="C218" s="45" t="s">
        <v>203</v>
      </c>
      <c r="D218" s="46" t="s">
        <v>682</v>
      </c>
    </row>
    <row r="219" spans="1:4" x14ac:dyDescent="0.25">
      <c r="A219" s="44" t="s">
        <v>162</v>
      </c>
      <c r="B219" s="45" t="s">
        <v>140</v>
      </c>
      <c r="C219" s="45" t="s">
        <v>166</v>
      </c>
      <c r="D219" s="46" t="s">
        <v>608</v>
      </c>
    </row>
    <row r="220" spans="1:4" x14ac:dyDescent="0.25">
      <c r="A220" s="44" t="s">
        <v>280</v>
      </c>
      <c r="B220" s="45" t="s">
        <v>94</v>
      </c>
      <c r="C220" s="45" t="s">
        <v>196</v>
      </c>
      <c r="D220" s="46" t="s">
        <v>681</v>
      </c>
    </row>
    <row r="221" spans="1:4" x14ac:dyDescent="0.25">
      <c r="A221" s="44" t="s">
        <v>257</v>
      </c>
      <c r="B221" s="45" t="s">
        <v>151</v>
      </c>
      <c r="C221" s="45" t="s">
        <v>235</v>
      </c>
      <c r="D221" s="46" t="s">
        <v>680</v>
      </c>
    </row>
    <row r="222" spans="1:4" x14ac:dyDescent="0.25">
      <c r="A222" s="44" t="s">
        <v>428</v>
      </c>
      <c r="B222" s="45" t="s">
        <v>111</v>
      </c>
      <c r="C222" s="45" t="s">
        <v>226</v>
      </c>
      <c r="D222" s="46" t="s">
        <v>488</v>
      </c>
    </row>
    <row r="223" spans="1:4" x14ac:dyDescent="0.25">
      <c r="A223" s="44" t="s">
        <v>529</v>
      </c>
      <c r="B223" s="45" t="s">
        <v>136</v>
      </c>
      <c r="C223" s="45" t="s">
        <v>256</v>
      </c>
      <c r="D223" s="46" t="s">
        <v>612</v>
      </c>
    </row>
    <row r="224" spans="1:4" x14ac:dyDescent="0.25">
      <c r="A224" s="44" t="s">
        <v>242</v>
      </c>
      <c r="B224" s="45" t="s">
        <v>135</v>
      </c>
      <c r="C224" s="45" t="s">
        <v>149</v>
      </c>
      <c r="D224" s="46" t="s">
        <v>488</v>
      </c>
    </row>
    <row r="225" spans="1:4" x14ac:dyDescent="0.25">
      <c r="A225" s="44" t="s">
        <v>579</v>
      </c>
      <c r="B225" s="45" t="s">
        <v>151</v>
      </c>
      <c r="C225" s="45" t="s">
        <v>365</v>
      </c>
      <c r="D225" s="46" t="s">
        <v>680</v>
      </c>
    </row>
    <row r="226" spans="1:4" x14ac:dyDescent="0.25">
      <c r="A226" s="44" t="s">
        <v>325</v>
      </c>
      <c r="B226" s="45" t="s">
        <v>91</v>
      </c>
      <c r="C226" s="45" t="s">
        <v>235</v>
      </c>
      <c r="D226" s="46" t="s">
        <v>488</v>
      </c>
    </row>
    <row r="227" spans="1:4" x14ac:dyDescent="0.25">
      <c r="A227" s="44" t="s">
        <v>619</v>
      </c>
      <c r="B227" s="45" t="s">
        <v>140</v>
      </c>
      <c r="C227" s="45" t="s">
        <v>240</v>
      </c>
      <c r="D227" s="46" t="s">
        <v>612</v>
      </c>
    </row>
    <row r="228" spans="1:4" x14ac:dyDescent="0.25">
      <c r="A228" s="44" t="s">
        <v>401</v>
      </c>
      <c r="B228" s="45" t="s">
        <v>146</v>
      </c>
      <c r="C228" s="45" t="s">
        <v>287</v>
      </c>
      <c r="D228" s="46" t="s">
        <v>540</v>
      </c>
    </row>
    <row r="229" spans="1:4" x14ac:dyDescent="0.25">
      <c r="A229" s="44" t="s">
        <v>611</v>
      </c>
      <c r="B229" s="45" t="s">
        <v>140</v>
      </c>
      <c r="C229" s="45" t="s">
        <v>318</v>
      </c>
      <c r="D229" s="46" t="s">
        <v>540</v>
      </c>
    </row>
    <row r="230" spans="1:4" x14ac:dyDescent="0.25">
      <c r="A230" s="44" t="s">
        <v>396</v>
      </c>
      <c r="B230" s="45" t="s">
        <v>101</v>
      </c>
      <c r="C230" s="45" t="s">
        <v>117</v>
      </c>
      <c r="D230" s="46" t="s">
        <v>685</v>
      </c>
    </row>
    <row r="231" spans="1:4" x14ac:dyDescent="0.25">
      <c r="A231" s="44" t="s">
        <v>523</v>
      </c>
      <c r="B231" s="45" t="s">
        <v>105</v>
      </c>
      <c r="C231" s="45" t="s">
        <v>408</v>
      </c>
      <c r="D231" s="46" t="s">
        <v>680</v>
      </c>
    </row>
    <row r="232" spans="1:4" x14ac:dyDescent="0.25">
      <c r="A232" s="44" t="s">
        <v>273</v>
      </c>
      <c r="B232" s="45" t="s">
        <v>105</v>
      </c>
      <c r="C232" s="45" t="s">
        <v>149</v>
      </c>
      <c r="D232" s="46" t="s">
        <v>682</v>
      </c>
    </row>
    <row r="233" spans="1:4" x14ac:dyDescent="0.25">
      <c r="A233" s="44" t="s">
        <v>580</v>
      </c>
      <c r="B233" s="45" t="s">
        <v>101</v>
      </c>
      <c r="C233" s="45" t="s">
        <v>351</v>
      </c>
      <c r="D233" s="46" t="s">
        <v>685</v>
      </c>
    </row>
    <row r="234" spans="1:4" x14ac:dyDescent="0.25">
      <c r="A234" s="44" t="s">
        <v>213</v>
      </c>
      <c r="B234" s="45" t="s">
        <v>169</v>
      </c>
      <c r="C234" s="45" t="s">
        <v>189</v>
      </c>
      <c r="D234" s="46" t="s">
        <v>433</v>
      </c>
    </row>
    <row r="235" spans="1:4" x14ac:dyDescent="0.25">
      <c r="A235" s="44" t="s">
        <v>345</v>
      </c>
      <c r="B235" s="45" t="s">
        <v>169</v>
      </c>
      <c r="C235" s="45" t="s">
        <v>282</v>
      </c>
      <c r="D235" s="46" t="s">
        <v>577</v>
      </c>
    </row>
    <row r="236" spans="1:4" x14ac:dyDescent="0.25">
      <c r="A236" s="44" t="s">
        <v>514</v>
      </c>
      <c r="B236" s="45" t="s">
        <v>140</v>
      </c>
      <c r="C236" s="45" t="s">
        <v>251</v>
      </c>
      <c r="D236" s="46" t="s">
        <v>680</v>
      </c>
    </row>
    <row r="237" spans="1:4" x14ac:dyDescent="0.25">
      <c r="A237" s="44" t="s">
        <v>348</v>
      </c>
      <c r="B237" s="45" t="s">
        <v>111</v>
      </c>
      <c r="C237" s="45" t="s">
        <v>298</v>
      </c>
      <c r="D237" s="46" t="s">
        <v>587</v>
      </c>
    </row>
    <row r="238" spans="1:4" x14ac:dyDescent="0.25">
      <c r="A238" s="44" t="s">
        <v>309</v>
      </c>
      <c r="B238" s="45" t="s">
        <v>142</v>
      </c>
      <c r="C238" s="45" t="s">
        <v>235</v>
      </c>
      <c r="D238" s="46" t="s">
        <v>587</v>
      </c>
    </row>
    <row r="239" spans="1:4" x14ac:dyDescent="0.25">
      <c r="A239" s="44" t="s">
        <v>623</v>
      </c>
      <c r="B239" s="45" t="s">
        <v>295</v>
      </c>
      <c r="C239" s="45" t="s">
        <v>202</v>
      </c>
      <c r="D239" s="46" t="s">
        <v>685</v>
      </c>
    </row>
    <row r="240" spans="1:4" x14ac:dyDescent="0.25">
      <c r="A240" s="44" t="s">
        <v>598</v>
      </c>
      <c r="B240" s="45" t="s">
        <v>174</v>
      </c>
      <c r="C240" s="45" t="s">
        <v>533</v>
      </c>
      <c r="D240" s="46" t="s">
        <v>681</v>
      </c>
    </row>
    <row r="241" spans="1:4" x14ac:dyDescent="0.25">
      <c r="A241" s="44" t="s">
        <v>417</v>
      </c>
      <c r="B241" s="45" t="s">
        <v>101</v>
      </c>
      <c r="C241" s="45" t="s">
        <v>282</v>
      </c>
      <c r="D241" s="46" t="s">
        <v>577</v>
      </c>
    </row>
    <row r="242" spans="1:4" x14ac:dyDescent="0.25">
      <c r="A242" s="44" t="s">
        <v>274</v>
      </c>
      <c r="B242" s="45" t="s">
        <v>141</v>
      </c>
      <c r="C242" s="45" t="s">
        <v>179</v>
      </c>
      <c r="D242" s="46" t="s">
        <v>682</v>
      </c>
    </row>
    <row r="243" spans="1:4" x14ac:dyDescent="0.25">
      <c r="A243" s="44" t="s">
        <v>556</v>
      </c>
      <c r="B243" s="45" t="s">
        <v>105</v>
      </c>
      <c r="C243" s="45" t="s">
        <v>282</v>
      </c>
      <c r="D243" s="46" t="s">
        <v>683</v>
      </c>
    </row>
    <row r="244" spans="1:4" x14ac:dyDescent="0.25">
      <c r="A244" s="44" t="s">
        <v>178</v>
      </c>
      <c r="B244" s="45" t="s">
        <v>93</v>
      </c>
      <c r="C244" s="45" t="s">
        <v>137</v>
      </c>
      <c r="D244" s="46" t="s">
        <v>433</v>
      </c>
    </row>
    <row r="245" spans="1:4" x14ac:dyDescent="0.25">
      <c r="A245" s="44" t="s">
        <v>463</v>
      </c>
      <c r="B245" s="45" t="s">
        <v>174</v>
      </c>
      <c r="C245" s="45" t="s">
        <v>245</v>
      </c>
      <c r="D245" s="46" t="s">
        <v>212</v>
      </c>
    </row>
    <row r="246" spans="1:4" x14ac:dyDescent="0.25">
      <c r="A246" s="44" t="s">
        <v>616</v>
      </c>
      <c r="B246" s="45" t="s">
        <v>176</v>
      </c>
      <c r="C246" s="45" t="s">
        <v>224</v>
      </c>
      <c r="D246" s="46" t="s">
        <v>685</v>
      </c>
    </row>
    <row r="247" spans="1:4" x14ac:dyDescent="0.25">
      <c r="A247" s="44" t="s">
        <v>583</v>
      </c>
      <c r="B247" s="45" t="s">
        <v>310</v>
      </c>
      <c r="C247" s="45" t="s">
        <v>533</v>
      </c>
      <c r="D247" s="46" t="s">
        <v>540</v>
      </c>
    </row>
    <row r="248" spans="1:4" x14ac:dyDescent="0.25">
      <c r="A248" s="44" t="s">
        <v>586</v>
      </c>
      <c r="B248" s="45" t="s">
        <v>139</v>
      </c>
      <c r="C248" s="45" t="s">
        <v>240</v>
      </c>
      <c r="D248" s="46" t="s">
        <v>612</v>
      </c>
    </row>
    <row r="249" spans="1:4" x14ac:dyDescent="0.25">
      <c r="A249" s="44" t="s">
        <v>648</v>
      </c>
      <c r="B249" s="45" t="s">
        <v>128</v>
      </c>
      <c r="C249" s="45" t="s">
        <v>337</v>
      </c>
      <c r="D249" s="46" t="s">
        <v>685</v>
      </c>
    </row>
    <row r="250" spans="1:4" x14ac:dyDescent="0.25">
      <c r="A250" s="44" t="s">
        <v>557</v>
      </c>
      <c r="B250" s="45" t="s">
        <v>160</v>
      </c>
      <c r="C250" s="45" t="s">
        <v>388</v>
      </c>
      <c r="D250" s="46" t="s">
        <v>682</v>
      </c>
    </row>
    <row r="251" spans="1:4" x14ac:dyDescent="0.25">
      <c r="A251" s="44" t="s">
        <v>585</v>
      </c>
      <c r="B251" s="45" t="s">
        <v>111</v>
      </c>
      <c r="C251" s="45" t="s">
        <v>446</v>
      </c>
      <c r="D251" s="46" t="s">
        <v>680</v>
      </c>
    </row>
    <row r="252" spans="1:4" x14ac:dyDescent="0.25">
      <c r="A252" s="44" t="s">
        <v>467</v>
      </c>
      <c r="B252" s="45" t="s">
        <v>151</v>
      </c>
      <c r="C252" s="45" t="s">
        <v>287</v>
      </c>
      <c r="D252" s="46" t="s">
        <v>577</v>
      </c>
    </row>
    <row r="253" spans="1:4" x14ac:dyDescent="0.25">
      <c r="A253" s="44" t="s">
        <v>480</v>
      </c>
      <c r="B253" s="45" t="s">
        <v>122</v>
      </c>
      <c r="C253" s="45" t="s">
        <v>217</v>
      </c>
      <c r="D253" s="46" t="s">
        <v>577</v>
      </c>
    </row>
    <row r="254" spans="1:4" x14ac:dyDescent="0.25">
      <c r="A254" s="44" t="s">
        <v>340</v>
      </c>
      <c r="B254" s="45" t="s">
        <v>111</v>
      </c>
      <c r="C254" s="45" t="s">
        <v>117</v>
      </c>
      <c r="D254" s="46" t="s">
        <v>680</v>
      </c>
    </row>
    <row r="255" spans="1:4" x14ac:dyDescent="0.25">
      <c r="A255" s="44" t="s">
        <v>511</v>
      </c>
      <c r="B255" s="45" t="s">
        <v>160</v>
      </c>
      <c r="C255" s="45" t="s">
        <v>281</v>
      </c>
      <c r="D255" s="46" t="s">
        <v>685</v>
      </c>
    </row>
    <row r="256" spans="1:4" x14ac:dyDescent="0.25">
      <c r="A256" s="44" t="s">
        <v>369</v>
      </c>
      <c r="B256" s="45" t="s">
        <v>122</v>
      </c>
      <c r="C256" s="45" t="s">
        <v>298</v>
      </c>
      <c r="D256" s="46" t="s">
        <v>587</v>
      </c>
    </row>
    <row r="257" spans="1:4" x14ac:dyDescent="0.25">
      <c r="A257" s="44" t="s">
        <v>300</v>
      </c>
      <c r="B257" s="45" t="s">
        <v>152</v>
      </c>
      <c r="C257" s="45" t="s">
        <v>245</v>
      </c>
      <c r="D257" s="46" t="s">
        <v>212</v>
      </c>
    </row>
    <row r="258" spans="1:4" x14ac:dyDescent="0.25">
      <c r="A258" s="44" t="s">
        <v>493</v>
      </c>
      <c r="B258" s="45" t="s">
        <v>101</v>
      </c>
      <c r="C258" s="45" t="s">
        <v>365</v>
      </c>
      <c r="D258" s="46" t="s">
        <v>577</v>
      </c>
    </row>
    <row r="259" spans="1:4" x14ac:dyDescent="0.25">
      <c r="A259" s="44" t="s">
        <v>321</v>
      </c>
      <c r="B259" s="45" t="s">
        <v>158</v>
      </c>
      <c r="C259" s="45" t="s">
        <v>251</v>
      </c>
      <c r="D259" s="46" t="s">
        <v>577</v>
      </c>
    </row>
    <row r="260" spans="1:4" x14ac:dyDescent="0.25">
      <c r="A260" s="44" t="s">
        <v>267</v>
      </c>
      <c r="B260" s="45" t="s">
        <v>156</v>
      </c>
      <c r="C260" s="45" t="s">
        <v>256</v>
      </c>
      <c r="D260" s="46" t="s">
        <v>680</v>
      </c>
    </row>
    <row r="261" spans="1:4" x14ac:dyDescent="0.25">
      <c r="A261" s="44" t="s">
        <v>481</v>
      </c>
      <c r="B261" s="45" t="s">
        <v>160</v>
      </c>
      <c r="C261" s="45" t="s">
        <v>318</v>
      </c>
      <c r="D261" s="46" t="s">
        <v>577</v>
      </c>
    </row>
    <row r="262" spans="1:4" x14ac:dyDescent="0.25">
      <c r="A262" s="44" t="s">
        <v>653</v>
      </c>
      <c r="B262" s="45" t="s">
        <v>127</v>
      </c>
      <c r="C262" s="45" t="s">
        <v>533</v>
      </c>
      <c r="D262" s="46" t="s">
        <v>577</v>
      </c>
    </row>
    <row r="263" spans="1:4" x14ac:dyDescent="0.25">
      <c r="A263" s="44" t="s">
        <v>548</v>
      </c>
      <c r="B263" s="45" t="s">
        <v>260</v>
      </c>
      <c r="C263" s="45" t="s">
        <v>202</v>
      </c>
      <c r="D263" s="46" t="s">
        <v>685</v>
      </c>
    </row>
    <row r="264" spans="1:4" x14ac:dyDescent="0.25">
      <c r="A264" s="44" t="s">
        <v>530</v>
      </c>
      <c r="B264" s="45" t="s">
        <v>160</v>
      </c>
      <c r="C264" s="45" t="s">
        <v>203</v>
      </c>
      <c r="D264" s="46" t="s">
        <v>685</v>
      </c>
    </row>
    <row r="265" spans="1:4" x14ac:dyDescent="0.25">
      <c r="A265" s="44" t="s">
        <v>115</v>
      </c>
      <c r="B265" s="45" t="s">
        <v>116</v>
      </c>
      <c r="C265" s="45" t="s">
        <v>119</v>
      </c>
      <c r="D265" s="46" t="s">
        <v>510</v>
      </c>
    </row>
    <row r="266" spans="1:4" x14ac:dyDescent="0.25">
      <c r="A266" s="44" t="s">
        <v>155</v>
      </c>
      <c r="B266" s="45" t="s">
        <v>102</v>
      </c>
      <c r="C266" s="45" t="s">
        <v>124</v>
      </c>
      <c r="D266" s="46" t="s">
        <v>684</v>
      </c>
    </row>
    <row r="267" spans="1:4" x14ac:dyDescent="0.25">
      <c r="A267" s="44" t="s">
        <v>610</v>
      </c>
      <c r="B267" s="45" t="s">
        <v>151</v>
      </c>
      <c r="C267" s="45" t="s">
        <v>562</v>
      </c>
      <c r="D267" s="46" t="s">
        <v>577</v>
      </c>
    </row>
    <row r="268" spans="1:4" x14ac:dyDescent="0.25">
      <c r="A268" s="44" t="s">
        <v>393</v>
      </c>
      <c r="B268" s="45" t="s">
        <v>160</v>
      </c>
      <c r="C268" s="45" t="s">
        <v>298</v>
      </c>
      <c r="D268" s="46" t="s">
        <v>587</v>
      </c>
    </row>
    <row r="269" spans="1:4" x14ac:dyDescent="0.25">
      <c r="A269" s="44" t="s">
        <v>659</v>
      </c>
      <c r="B269" s="45" t="s">
        <v>261</v>
      </c>
      <c r="C269" s="45" t="s">
        <v>232</v>
      </c>
      <c r="D269" s="46" t="s">
        <v>587</v>
      </c>
    </row>
    <row r="270" spans="1:4" x14ac:dyDescent="0.25">
      <c r="A270" s="44" t="s">
        <v>571</v>
      </c>
      <c r="B270" s="45" t="s">
        <v>127</v>
      </c>
      <c r="C270" s="45" t="s">
        <v>446</v>
      </c>
      <c r="D270" s="46" t="s">
        <v>587</v>
      </c>
    </row>
    <row r="271" spans="1:4" x14ac:dyDescent="0.25">
      <c r="A271" s="44" t="s">
        <v>515</v>
      </c>
      <c r="B271" s="45" t="s">
        <v>176</v>
      </c>
      <c r="C271" s="45" t="s">
        <v>408</v>
      </c>
      <c r="D271" s="46" t="s">
        <v>685</v>
      </c>
    </row>
    <row r="272" spans="1:4" x14ac:dyDescent="0.25">
      <c r="A272" s="44" t="s">
        <v>502</v>
      </c>
      <c r="B272" s="45" t="s">
        <v>249</v>
      </c>
      <c r="C272" s="45" t="s">
        <v>202</v>
      </c>
      <c r="D272" s="46" t="s">
        <v>587</v>
      </c>
    </row>
    <row r="273" spans="1:4" x14ac:dyDescent="0.25">
      <c r="A273" s="44" t="s">
        <v>346</v>
      </c>
      <c r="B273" s="45" t="s">
        <v>109</v>
      </c>
      <c r="C273" s="45" t="s">
        <v>226</v>
      </c>
      <c r="D273" s="46" t="s">
        <v>587</v>
      </c>
    </row>
    <row r="274" spans="1:4" x14ac:dyDescent="0.25">
      <c r="A274" s="44" t="s">
        <v>639</v>
      </c>
      <c r="B274" s="45" t="s">
        <v>206</v>
      </c>
      <c r="C274" s="45" t="s">
        <v>388</v>
      </c>
      <c r="D274" s="46" t="s">
        <v>680</v>
      </c>
    </row>
    <row r="275" spans="1:4" x14ac:dyDescent="0.25">
      <c r="A275" s="44" t="s">
        <v>462</v>
      </c>
      <c r="B275" s="45" t="s">
        <v>151</v>
      </c>
      <c r="C275" s="45" t="s">
        <v>460</v>
      </c>
      <c r="D275" s="46" t="s">
        <v>577</v>
      </c>
    </row>
    <row r="276" spans="1:4" x14ac:dyDescent="0.25">
      <c r="A276" s="44" t="s">
        <v>528</v>
      </c>
      <c r="B276" s="45" t="s">
        <v>146</v>
      </c>
      <c r="C276" s="45" t="s">
        <v>226</v>
      </c>
      <c r="D276" s="46" t="s">
        <v>682</v>
      </c>
    </row>
    <row r="277" spans="1:4" x14ac:dyDescent="0.25">
      <c r="A277" s="44" t="s">
        <v>673</v>
      </c>
      <c r="B277" s="45" t="s">
        <v>151</v>
      </c>
      <c r="C277" s="45" t="s">
        <v>533</v>
      </c>
      <c r="D277" s="46" t="s">
        <v>577</v>
      </c>
    </row>
    <row r="278" spans="1:4" x14ac:dyDescent="0.25">
      <c r="A278" s="44" t="s">
        <v>443</v>
      </c>
      <c r="B278" s="45" t="s">
        <v>136</v>
      </c>
      <c r="C278" s="45" t="s">
        <v>240</v>
      </c>
      <c r="D278" s="46" t="s">
        <v>587</v>
      </c>
    </row>
    <row r="279" spans="1:4" x14ac:dyDescent="0.25">
      <c r="A279" s="44" t="s">
        <v>276</v>
      </c>
      <c r="B279" s="45" t="s">
        <v>152</v>
      </c>
      <c r="C279" s="45" t="s">
        <v>235</v>
      </c>
      <c r="D279" s="46" t="s">
        <v>612</v>
      </c>
    </row>
    <row r="280" spans="1:4" x14ac:dyDescent="0.25">
      <c r="A280" s="44" t="s">
        <v>265</v>
      </c>
      <c r="B280" s="45" t="s">
        <v>109</v>
      </c>
      <c r="C280" s="45" t="s">
        <v>183</v>
      </c>
      <c r="D280" s="46" t="s">
        <v>212</v>
      </c>
    </row>
    <row r="281" spans="1:4" x14ac:dyDescent="0.25">
      <c r="A281" s="44" t="s">
        <v>650</v>
      </c>
      <c r="B281" s="45" t="s">
        <v>142</v>
      </c>
      <c r="C281" s="45" t="s">
        <v>202</v>
      </c>
      <c r="D281" s="46" t="s">
        <v>685</v>
      </c>
    </row>
    <row r="282" spans="1:4" x14ac:dyDescent="0.25">
      <c r="A282" s="44" t="s">
        <v>333</v>
      </c>
      <c r="B282" s="45" t="s">
        <v>136</v>
      </c>
      <c r="C282" s="45" t="s">
        <v>170</v>
      </c>
      <c r="D282" s="46" t="s">
        <v>679</v>
      </c>
    </row>
    <row r="283" spans="1:4" x14ac:dyDescent="0.25">
      <c r="A283" s="44" t="s">
        <v>573</v>
      </c>
      <c r="B283" s="45" t="s">
        <v>164</v>
      </c>
      <c r="C283" s="45" t="s">
        <v>388</v>
      </c>
      <c r="D283" s="46" t="s">
        <v>680</v>
      </c>
    </row>
    <row r="284" spans="1:4" x14ac:dyDescent="0.25">
      <c r="A284" s="44" t="s">
        <v>214</v>
      </c>
      <c r="B284" s="45" t="s">
        <v>109</v>
      </c>
      <c r="C284" s="45" t="s">
        <v>143</v>
      </c>
      <c r="D284" s="46" t="s">
        <v>680</v>
      </c>
    </row>
    <row r="285" spans="1:4" x14ac:dyDescent="0.25">
      <c r="A285" s="44" t="s">
        <v>293</v>
      </c>
      <c r="B285" s="45" t="s">
        <v>105</v>
      </c>
      <c r="C285" s="45" t="s">
        <v>240</v>
      </c>
      <c r="D285" s="46" t="s">
        <v>679</v>
      </c>
    </row>
    <row r="286" spans="1:4" x14ac:dyDescent="0.25">
      <c r="A286" s="44" t="s">
        <v>655</v>
      </c>
      <c r="B286" s="45" t="s">
        <v>295</v>
      </c>
      <c r="C286" s="45" t="s">
        <v>594</v>
      </c>
      <c r="D286" s="46" t="s">
        <v>685</v>
      </c>
    </row>
    <row r="287" spans="1:4" x14ac:dyDescent="0.25">
      <c r="A287" s="44" t="s">
        <v>314</v>
      </c>
      <c r="B287" s="45" t="s">
        <v>156</v>
      </c>
      <c r="C287" s="45" t="s">
        <v>117</v>
      </c>
      <c r="D287" s="46" t="s">
        <v>682</v>
      </c>
    </row>
    <row r="288" spans="1:4" x14ac:dyDescent="0.25">
      <c r="A288" s="44" t="s">
        <v>492</v>
      </c>
      <c r="B288" s="45" t="s">
        <v>129</v>
      </c>
      <c r="C288" s="45" t="s">
        <v>117</v>
      </c>
      <c r="D288" s="46" t="s">
        <v>682</v>
      </c>
    </row>
    <row r="289" spans="1:4" x14ac:dyDescent="0.25">
      <c r="A289" s="44" t="s">
        <v>253</v>
      </c>
      <c r="B289" s="45" t="s">
        <v>96</v>
      </c>
      <c r="C289" s="45" t="s">
        <v>189</v>
      </c>
      <c r="D289" s="46" t="s">
        <v>685</v>
      </c>
    </row>
    <row r="290" spans="1:4" x14ac:dyDescent="0.25">
      <c r="A290" s="44" t="s">
        <v>357</v>
      </c>
      <c r="B290" s="45" t="s">
        <v>122</v>
      </c>
      <c r="C290" s="45" t="s">
        <v>235</v>
      </c>
      <c r="D290" s="46" t="s">
        <v>681</v>
      </c>
    </row>
    <row r="291" spans="1:4" x14ac:dyDescent="0.25">
      <c r="A291" s="44" t="s">
        <v>589</v>
      </c>
      <c r="B291" s="45" t="s">
        <v>142</v>
      </c>
      <c r="C291" s="45" t="s">
        <v>388</v>
      </c>
      <c r="D291" s="46" t="s">
        <v>577</v>
      </c>
    </row>
    <row r="292" spans="1:4" x14ac:dyDescent="0.25">
      <c r="A292" s="44" t="s">
        <v>454</v>
      </c>
      <c r="B292" s="45" t="s">
        <v>129</v>
      </c>
      <c r="C292" s="45" t="s">
        <v>203</v>
      </c>
      <c r="D292" s="46" t="s">
        <v>685</v>
      </c>
    </row>
    <row r="293" spans="1:4" x14ac:dyDescent="0.25">
      <c r="A293" s="44" t="s">
        <v>378</v>
      </c>
      <c r="B293" s="45" t="s">
        <v>169</v>
      </c>
      <c r="C293" s="45" t="s">
        <v>117</v>
      </c>
      <c r="D293" s="46" t="s">
        <v>680</v>
      </c>
    </row>
    <row r="294" spans="1:4" ht="30" x14ac:dyDescent="0.25">
      <c r="A294" s="44" t="s">
        <v>227</v>
      </c>
      <c r="B294" s="45" t="s">
        <v>91</v>
      </c>
      <c r="C294" s="45" t="s">
        <v>161</v>
      </c>
      <c r="D294" s="46" t="s">
        <v>634</v>
      </c>
    </row>
    <row r="295" spans="1:4" x14ac:dyDescent="0.25">
      <c r="A295" s="44" t="s">
        <v>286</v>
      </c>
      <c r="B295" s="45" t="s">
        <v>145</v>
      </c>
      <c r="C295" s="45" t="s">
        <v>204</v>
      </c>
      <c r="D295" s="46" t="s">
        <v>680</v>
      </c>
    </row>
    <row r="296" spans="1:4" x14ac:dyDescent="0.25">
      <c r="A296" s="44" t="s">
        <v>349</v>
      </c>
      <c r="B296" s="45" t="s">
        <v>130</v>
      </c>
      <c r="C296" s="45" t="s">
        <v>235</v>
      </c>
      <c r="D296" s="46" t="s">
        <v>540</v>
      </c>
    </row>
    <row r="297" spans="1:4" x14ac:dyDescent="0.25">
      <c r="A297" s="44" t="s">
        <v>229</v>
      </c>
      <c r="B297" s="45" t="s">
        <v>156</v>
      </c>
      <c r="C297" s="45" t="s">
        <v>167</v>
      </c>
      <c r="D297" s="46" t="s">
        <v>329</v>
      </c>
    </row>
    <row r="298" spans="1:4" x14ac:dyDescent="0.25">
      <c r="A298" s="44" t="s">
        <v>238</v>
      </c>
      <c r="B298" s="45" t="s">
        <v>109</v>
      </c>
      <c r="C298" s="45" t="s">
        <v>183</v>
      </c>
      <c r="D298" s="46" t="s">
        <v>612</v>
      </c>
    </row>
    <row r="299" spans="1:4" x14ac:dyDescent="0.25">
      <c r="A299" s="44" t="s">
        <v>359</v>
      </c>
      <c r="B299" s="45" t="s">
        <v>101</v>
      </c>
      <c r="C299" s="45" t="s">
        <v>287</v>
      </c>
      <c r="D299" s="46" t="s">
        <v>683</v>
      </c>
    </row>
    <row r="300" spans="1:4" x14ac:dyDescent="0.25">
      <c r="A300" s="44" t="s">
        <v>241</v>
      </c>
      <c r="B300" s="45" t="s">
        <v>91</v>
      </c>
      <c r="C300" s="45" t="s">
        <v>133</v>
      </c>
      <c r="D300" s="46" t="s">
        <v>540</v>
      </c>
    </row>
    <row r="301" spans="1:4" x14ac:dyDescent="0.25">
      <c r="A301" s="44" t="s">
        <v>553</v>
      </c>
      <c r="B301" s="45" t="s">
        <v>129</v>
      </c>
      <c r="C301" s="45" t="s">
        <v>224</v>
      </c>
      <c r="D301" s="46" t="s">
        <v>612</v>
      </c>
    </row>
    <row r="302" spans="1:4" x14ac:dyDescent="0.25">
      <c r="A302" s="44" t="s">
        <v>397</v>
      </c>
      <c r="B302" s="45" t="s">
        <v>93</v>
      </c>
      <c r="C302" s="45" t="s">
        <v>287</v>
      </c>
      <c r="D302" s="46" t="s">
        <v>680</v>
      </c>
    </row>
    <row r="303" spans="1:4" x14ac:dyDescent="0.25">
      <c r="A303" s="44" t="s">
        <v>542</v>
      </c>
      <c r="B303" s="45" t="s">
        <v>164</v>
      </c>
      <c r="C303" s="45" t="s">
        <v>224</v>
      </c>
      <c r="D303" s="46" t="s">
        <v>685</v>
      </c>
    </row>
    <row r="304" spans="1:4" x14ac:dyDescent="0.25">
      <c r="A304" s="44" t="s">
        <v>335</v>
      </c>
      <c r="B304" s="45" t="s">
        <v>92</v>
      </c>
      <c r="C304" s="45" t="s">
        <v>217</v>
      </c>
      <c r="D304" s="46" t="s">
        <v>212</v>
      </c>
    </row>
    <row r="305" spans="1:4" x14ac:dyDescent="0.25">
      <c r="A305" s="44" t="s">
        <v>441</v>
      </c>
      <c r="B305" s="45" t="s">
        <v>152</v>
      </c>
      <c r="C305" s="45" t="s">
        <v>318</v>
      </c>
      <c r="D305" s="46" t="s">
        <v>685</v>
      </c>
    </row>
    <row r="306" spans="1:4" x14ac:dyDescent="0.25">
      <c r="A306" s="44" t="s">
        <v>188</v>
      </c>
      <c r="B306" s="45" t="s">
        <v>101</v>
      </c>
      <c r="C306" s="45" t="s">
        <v>131</v>
      </c>
      <c r="D306" s="46" t="s">
        <v>634</v>
      </c>
    </row>
    <row r="307" spans="1:4" x14ac:dyDescent="0.25">
      <c r="A307" s="44" t="s">
        <v>499</v>
      </c>
      <c r="B307" s="45" t="s">
        <v>160</v>
      </c>
      <c r="C307" s="45" t="s">
        <v>388</v>
      </c>
      <c r="D307" s="46" t="s">
        <v>680</v>
      </c>
    </row>
    <row r="308" spans="1:4" x14ac:dyDescent="0.25">
      <c r="A308" s="44" t="s">
        <v>234</v>
      </c>
      <c r="B308" s="45" t="s">
        <v>158</v>
      </c>
      <c r="C308" s="45" t="s">
        <v>201</v>
      </c>
      <c r="D308" s="46" t="s">
        <v>681</v>
      </c>
    </row>
    <row r="309" spans="1:4" x14ac:dyDescent="0.25">
      <c r="A309" s="44" t="s">
        <v>254</v>
      </c>
      <c r="B309" s="45" t="s">
        <v>91</v>
      </c>
      <c r="C309" s="45" t="s">
        <v>123</v>
      </c>
      <c r="D309" s="46" t="s">
        <v>474</v>
      </c>
    </row>
    <row r="310" spans="1:4" x14ac:dyDescent="0.25">
      <c r="A310" s="44" t="s">
        <v>190</v>
      </c>
      <c r="B310" s="45" t="s">
        <v>158</v>
      </c>
      <c r="C310" s="45" t="s">
        <v>137</v>
      </c>
      <c r="D310" s="46" t="s">
        <v>681</v>
      </c>
    </row>
    <row r="311" spans="1:4" x14ac:dyDescent="0.25">
      <c r="A311" s="44" t="s">
        <v>358</v>
      </c>
      <c r="B311" s="45" t="s">
        <v>121</v>
      </c>
      <c r="C311" s="45" t="s">
        <v>226</v>
      </c>
      <c r="D311" s="46" t="s">
        <v>680</v>
      </c>
    </row>
    <row r="312" spans="1:4" x14ac:dyDescent="0.25">
      <c r="A312" s="44" t="s">
        <v>384</v>
      </c>
      <c r="B312" s="45" t="s">
        <v>152</v>
      </c>
      <c r="C312" s="45" t="s">
        <v>282</v>
      </c>
      <c r="D312" s="46" t="s">
        <v>612</v>
      </c>
    </row>
    <row r="313" spans="1:4" x14ac:dyDescent="0.25">
      <c r="A313" s="44" t="s">
        <v>407</v>
      </c>
      <c r="B313" s="45" t="s">
        <v>130</v>
      </c>
      <c r="C313" s="45" t="s">
        <v>408</v>
      </c>
      <c r="D313" s="46" t="s">
        <v>433</v>
      </c>
    </row>
    <row r="314" spans="1:4" x14ac:dyDescent="0.25">
      <c r="A314" s="44" t="s">
        <v>442</v>
      </c>
      <c r="B314" s="45" t="s">
        <v>122</v>
      </c>
      <c r="C314" s="45" t="s">
        <v>318</v>
      </c>
      <c r="D314" s="46" t="s">
        <v>681</v>
      </c>
    </row>
    <row r="315" spans="1:4" x14ac:dyDescent="0.25">
      <c r="A315" s="44" t="s">
        <v>402</v>
      </c>
      <c r="B315" s="45" t="s">
        <v>164</v>
      </c>
      <c r="C315" s="45" t="s">
        <v>217</v>
      </c>
      <c r="D315" s="46" t="s">
        <v>540</v>
      </c>
    </row>
    <row r="316" spans="1:4" x14ac:dyDescent="0.25">
      <c r="A316" s="44" t="s">
        <v>501</v>
      </c>
      <c r="B316" s="45" t="s">
        <v>102</v>
      </c>
      <c r="C316" s="45" t="s">
        <v>365</v>
      </c>
      <c r="D316" s="46" t="s">
        <v>540</v>
      </c>
    </row>
    <row r="317" spans="1:4" x14ac:dyDescent="0.25">
      <c r="A317" s="44" t="s">
        <v>197</v>
      </c>
      <c r="B317" s="45" t="s">
        <v>169</v>
      </c>
      <c r="C317" s="45" t="s">
        <v>125</v>
      </c>
      <c r="D317" s="46" t="s">
        <v>577</v>
      </c>
    </row>
    <row r="318" spans="1:4" x14ac:dyDescent="0.25">
      <c r="A318" s="44" t="s">
        <v>422</v>
      </c>
      <c r="B318" s="45" t="s">
        <v>136</v>
      </c>
      <c r="C318" s="45" t="s">
        <v>298</v>
      </c>
      <c r="D318" s="46" t="s">
        <v>577</v>
      </c>
    </row>
    <row r="319" spans="1:4" x14ac:dyDescent="0.25">
      <c r="A319" s="44" t="s">
        <v>399</v>
      </c>
      <c r="B319" s="45" t="s">
        <v>102</v>
      </c>
      <c r="C319" s="45" t="s">
        <v>245</v>
      </c>
      <c r="D319" s="46" t="s">
        <v>488</v>
      </c>
    </row>
    <row r="320" spans="1:4" x14ac:dyDescent="0.25">
      <c r="A320" s="44" t="s">
        <v>339</v>
      </c>
      <c r="B320" s="45" t="s">
        <v>260</v>
      </c>
      <c r="C320" s="45" t="s">
        <v>203</v>
      </c>
      <c r="D320" s="46" t="s">
        <v>683</v>
      </c>
    </row>
    <row r="321" spans="1:4" x14ac:dyDescent="0.25">
      <c r="A321" s="44" t="s">
        <v>469</v>
      </c>
      <c r="B321" s="45" t="s">
        <v>158</v>
      </c>
      <c r="C321" s="45" t="s">
        <v>427</v>
      </c>
      <c r="D321" s="46" t="s">
        <v>612</v>
      </c>
    </row>
    <row r="322" spans="1:4" x14ac:dyDescent="0.25">
      <c r="A322" s="44" t="s">
        <v>678</v>
      </c>
      <c r="B322" s="45" t="s">
        <v>95</v>
      </c>
      <c r="C322" s="45">
        <v>0</v>
      </c>
      <c r="D322" s="46" t="s">
        <v>474</v>
      </c>
    </row>
    <row r="323" spans="1:4" x14ac:dyDescent="0.25">
      <c r="A323" s="44" t="s">
        <v>182</v>
      </c>
      <c r="B323" s="45" t="s">
        <v>92</v>
      </c>
      <c r="C323" s="45" t="s">
        <v>165</v>
      </c>
      <c r="D323" s="46" t="s">
        <v>679</v>
      </c>
    </row>
    <row r="324" spans="1:4" x14ac:dyDescent="0.25">
      <c r="A324" s="44" t="s">
        <v>211</v>
      </c>
      <c r="B324" s="45" t="s">
        <v>94</v>
      </c>
      <c r="C324" s="45" t="s">
        <v>167</v>
      </c>
      <c r="D324" s="46" t="s">
        <v>488</v>
      </c>
    </row>
    <row r="325" spans="1:4" x14ac:dyDescent="0.25">
      <c r="A325" s="44" t="s">
        <v>522</v>
      </c>
      <c r="B325" s="45" t="s">
        <v>141</v>
      </c>
      <c r="C325" s="45" t="s">
        <v>233</v>
      </c>
      <c r="D325" s="46" t="s">
        <v>685</v>
      </c>
    </row>
    <row r="326" spans="1:4" x14ac:dyDescent="0.25">
      <c r="A326" s="44" t="s">
        <v>255</v>
      </c>
      <c r="B326" s="45" t="s">
        <v>158</v>
      </c>
      <c r="C326" s="45" t="s">
        <v>179</v>
      </c>
      <c r="D326" s="46" t="s">
        <v>488</v>
      </c>
    </row>
    <row r="327" spans="1:4" x14ac:dyDescent="0.25">
      <c r="A327" s="44" t="s">
        <v>372</v>
      </c>
      <c r="B327" s="45" t="s">
        <v>103</v>
      </c>
      <c r="C327" s="45" t="s">
        <v>256</v>
      </c>
      <c r="D327" s="46" t="s">
        <v>540</v>
      </c>
    </row>
    <row r="328" spans="1:4" x14ac:dyDescent="0.25">
      <c r="A328" s="44" t="s">
        <v>412</v>
      </c>
      <c r="B328" s="45" t="s">
        <v>156</v>
      </c>
      <c r="C328" s="45" t="s">
        <v>97</v>
      </c>
      <c r="D328" s="46" t="s">
        <v>679</v>
      </c>
    </row>
    <row r="329" spans="1:4" x14ac:dyDescent="0.25">
      <c r="A329" s="44" t="s">
        <v>423</v>
      </c>
      <c r="B329" s="45" t="s">
        <v>152</v>
      </c>
      <c r="C329" s="45" t="s">
        <v>251</v>
      </c>
      <c r="D329" s="46" t="s">
        <v>680</v>
      </c>
    </row>
    <row r="330" spans="1:4" x14ac:dyDescent="0.25">
      <c r="A330" s="44" t="s">
        <v>382</v>
      </c>
      <c r="B330" s="45" t="s">
        <v>156</v>
      </c>
      <c r="C330" s="45" t="s">
        <v>235</v>
      </c>
      <c r="D330" s="46" t="s">
        <v>474</v>
      </c>
    </row>
    <row r="331" spans="1:4" x14ac:dyDescent="0.25">
      <c r="A331" s="44" t="s">
        <v>471</v>
      </c>
      <c r="B331" s="45" t="s">
        <v>169</v>
      </c>
      <c r="C331" s="45" t="s">
        <v>298</v>
      </c>
      <c r="D331" s="46" t="s">
        <v>680</v>
      </c>
    </row>
    <row r="332" spans="1:4" x14ac:dyDescent="0.25">
      <c r="A332" s="44" t="s">
        <v>328</v>
      </c>
      <c r="B332" s="45" t="s">
        <v>151</v>
      </c>
      <c r="C332" s="45" t="s">
        <v>161</v>
      </c>
      <c r="D332" s="46" t="s">
        <v>587</v>
      </c>
    </row>
    <row r="333" spans="1:4" x14ac:dyDescent="0.25">
      <c r="A333" s="44" t="s">
        <v>191</v>
      </c>
      <c r="B333" s="45" t="s">
        <v>96</v>
      </c>
      <c r="C333" s="45" t="s">
        <v>192</v>
      </c>
      <c r="D333" s="46" t="s">
        <v>433</v>
      </c>
    </row>
    <row r="334" spans="1:4" x14ac:dyDescent="0.25">
      <c r="A334" s="44" t="s">
        <v>606</v>
      </c>
      <c r="B334" s="45" t="s">
        <v>145</v>
      </c>
      <c r="C334" s="45" t="s">
        <v>351</v>
      </c>
      <c r="D334" s="46" t="s">
        <v>540</v>
      </c>
    </row>
    <row r="335" spans="1:4" x14ac:dyDescent="0.25">
      <c r="A335" s="44" t="s">
        <v>605</v>
      </c>
      <c r="B335" s="45" t="s">
        <v>139</v>
      </c>
      <c r="C335" s="45" t="s">
        <v>98</v>
      </c>
      <c r="D335" s="46" t="s">
        <v>680</v>
      </c>
    </row>
    <row r="336" spans="1:4" x14ac:dyDescent="0.25">
      <c r="A336" s="44" t="s">
        <v>527</v>
      </c>
      <c r="B336" s="45" t="s">
        <v>200</v>
      </c>
      <c r="C336" s="45" t="s">
        <v>226</v>
      </c>
      <c r="D336" s="46" t="s">
        <v>681</v>
      </c>
    </row>
    <row r="337" spans="1:4" x14ac:dyDescent="0.25">
      <c r="A337" s="44" t="s">
        <v>601</v>
      </c>
      <c r="B337" s="45" t="s">
        <v>164</v>
      </c>
      <c r="C337" s="45" t="s">
        <v>232</v>
      </c>
      <c r="D337" s="46" t="s">
        <v>685</v>
      </c>
    </row>
    <row r="338" spans="1:4" x14ac:dyDescent="0.25">
      <c r="A338" s="44" t="s">
        <v>603</v>
      </c>
      <c r="B338" s="45" t="s">
        <v>164</v>
      </c>
      <c r="C338" s="45" t="s">
        <v>351</v>
      </c>
      <c r="D338" s="46" t="s">
        <v>680</v>
      </c>
    </row>
    <row r="339" spans="1:4" x14ac:dyDescent="0.25">
      <c r="A339" s="44" t="s">
        <v>483</v>
      </c>
      <c r="B339" s="45" t="s">
        <v>141</v>
      </c>
      <c r="C339" s="45" t="s">
        <v>365</v>
      </c>
      <c r="D339" s="46" t="s">
        <v>685</v>
      </c>
    </row>
    <row r="340" spans="1:4" x14ac:dyDescent="0.25">
      <c r="A340" s="44" t="s">
        <v>671</v>
      </c>
      <c r="B340" s="45" t="s">
        <v>163</v>
      </c>
      <c r="C340" s="45" t="s">
        <v>97</v>
      </c>
      <c r="D340" s="46" t="s">
        <v>540</v>
      </c>
    </row>
    <row r="341" spans="1:4" x14ac:dyDescent="0.25">
      <c r="A341" s="44" t="s">
        <v>218</v>
      </c>
      <c r="B341" s="45" t="s">
        <v>91</v>
      </c>
      <c r="C341" s="45" t="s">
        <v>137</v>
      </c>
      <c r="D341" s="46" t="s">
        <v>488</v>
      </c>
    </row>
    <row r="342" spans="1:4" x14ac:dyDescent="0.25">
      <c r="A342" s="44" t="s">
        <v>373</v>
      </c>
      <c r="B342" s="45" t="s">
        <v>122</v>
      </c>
      <c r="C342" s="45" t="s">
        <v>287</v>
      </c>
      <c r="D342" s="46" t="s">
        <v>587</v>
      </c>
    </row>
    <row r="343" spans="1:4" x14ac:dyDescent="0.25">
      <c r="A343" s="44" t="s">
        <v>560</v>
      </c>
      <c r="B343" s="45" t="s">
        <v>187</v>
      </c>
      <c r="C343" s="45" t="s">
        <v>233</v>
      </c>
      <c r="D343" s="46" t="s">
        <v>577</v>
      </c>
    </row>
    <row r="344" spans="1:4" x14ac:dyDescent="0.25">
      <c r="A344" s="44" t="s">
        <v>248</v>
      </c>
      <c r="B344" s="45" t="s">
        <v>139</v>
      </c>
      <c r="C344" s="45" t="s">
        <v>235</v>
      </c>
      <c r="D344" s="46" t="s">
        <v>685</v>
      </c>
    </row>
    <row r="345" spans="1:4" x14ac:dyDescent="0.25">
      <c r="A345" s="44" t="s">
        <v>495</v>
      </c>
      <c r="B345" s="45" t="s">
        <v>136</v>
      </c>
      <c r="C345" s="45" t="s">
        <v>97</v>
      </c>
      <c r="D345" s="46" t="s">
        <v>612</v>
      </c>
    </row>
    <row r="346" spans="1:4" x14ac:dyDescent="0.25">
      <c r="A346" s="44" t="s">
        <v>602</v>
      </c>
      <c r="B346" s="45" t="s">
        <v>295</v>
      </c>
      <c r="C346" s="45" t="s">
        <v>365</v>
      </c>
      <c r="D346" s="46" t="s">
        <v>680</v>
      </c>
    </row>
    <row r="347" spans="1:4" x14ac:dyDescent="0.25">
      <c r="A347" s="44" t="s">
        <v>627</v>
      </c>
      <c r="B347" s="45" t="s">
        <v>310</v>
      </c>
      <c r="C347" s="45" t="s">
        <v>460</v>
      </c>
      <c r="D347" s="46" t="s">
        <v>587</v>
      </c>
    </row>
    <row r="348" spans="1:4" x14ac:dyDescent="0.25">
      <c r="A348" s="44" t="s">
        <v>451</v>
      </c>
      <c r="B348" s="45" t="s">
        <v>129</v>
      </c>
      <c r="C348" s="45" t="s">
        <v>97</v>
      </c>
      <c r="D348" s="46" t="s">
        <v>540</v>
      </c>
    </row>
    <row r="349" spans="1:4" x14ac:dyDescent="0.25">
      <c r="A349" s="44" t="s">
        <v>323</v>
      </c>
      <c r="B349" s="45" t="s">
        <v>174</v>
      </c>
      <c r="C349" s="45" t="s">
        <v>226</v>
      </c>
      <c r="D349" s="46" t="s">
        <v>488</v>
      </c>
    </row>
    <row r="350" spans="1:4" x14ac:dyDescent="0.25">
      <c r="A350" s="44" t="s">
        <v>413</v>
      </c>
      <c r="B350" s="45" t="s">
        <v>141</v>
      </c>
      <c r="C350" s="45" t="s">
        <v>161</v>
      </c>
      <c r="D350" s="46" t="s">
        <v>540</v>
      </c>
    </row>
    <row r="351" spans="1:4" x14ac:dyDescent="0.25">
      <c r="A351" s="44" t="s">
        <v>497</v>
      </c>
      <c r="B351" s="45" t="s">
        <v>141</v>
      </c>
      <c r="C351" s="45" t="s">
        <v>203</v>
      </c>
      <c r="D351" s="46" t="s">
        <v>685</v>
      </c>
    </row>
    <row r="352" spans="1:4" x14ac:dyDescent="0.25">
      <c r="A352" s="44" t="s">
        <v>305</v>
      </c>
      <c r="B352" s="45" t="s">
        <v>152</v>
      </c>
      <c r="C352" s="45" t="s">
        <v>245</v>
      </c>
      <c r="D352" s="46" t="s">
        <v>681</v>
      </c>
    </row>
    <row r="353" spans="1:4" x14ac:dyDescent="0.25">
      <c r="A353" s="44" t="s">
        <v>452</v>
      </c>
      <c r="B353" s="45" t="s">
        <v>128</v>
      </c>
      <c r="C353" s="45" t="s">
        <v>427</v>
      </c>
      <c r="D353" s="46" t="s">
        <v>577</v>
      </c>
    </row>
    <row r="354" spans="1:4" x14ac:dyDescent="0.25">
      <c r="A354" s="44" t="s">
        <v>409</v>
      </c>
      <c r="B354" s="45" t="s">
        <v>206</v>
      </c>
      <c r="C354" s="45" t="s">
        <v>282</v>
      </c>
      <c r="D354" s="46" t="s">
        <v>587</v>
      </c>
    </row>
    <row r="355" spans="1:4" x14ac:dyDescent="0.25">
      <c r="A355" s="44" t="s">
        <v>381</v>
      </c>
      <c r="B355" s="45" t="s">
        <v>158</v>
      </c>
      <c r="C355" s="45" t="s">
        <v>298</v>
      </c>
      <c r="D355" s="46" t="s">
        <v>612</v>
      </c>
    </row>
    <row r="356" spans="1:4" x14ac:dyDescent="0.25">
      <c r="A356" s="44" t="s">
        <v>420</v>
      </c>
      <c r="B356" s="45" t="s">
        <v>122</v>
      </c>
      <c r="C356" s="45" t="s">
        <v>287</v>
      </c>
      <c r="D356" s="46" t="s">
        <v>540</v>
      </c>
    </row>
    <row r="357" spans="1:4" x14ac:dyDescent="0.25">
      <c r="A357" s="44" t="s">
        <v>445</v>
      </c>
      <c r="B357" s="45" t="s">
        <v>174</v>
      </c>
      <c r="C357" s="45" t="s">
        <v>298</v>
      </c>
      <c r="D357" s="46" t="s">
        <v>590</v>
      </c>
    </row>
    <row r="358" spans="1:4" x14ac:dyDescent="0.25">
      <c r="A358" s="44" t="s">
        <v>100</v>
      </c>
      <c r="B358" s="45" t="s">
        <v>96</v>
      </c>
      <c r="C358" s="45" t="s">
        <v>107</v>
      </c>
      <c r="D358" s="46" t="s">
        <v>329</v>
      </c>
    </row>
    <row r="359" spans="1:4" x14ac:dyDescent="0.25">
      <c r="A359" s="44" t="s">
        <v>315</v>
      </c>
      <c r="B359" s="45" t="s">
        <v>141</v>
      </c>
      <c r="C359" s="45" t="s">
        <v>149</v>
      </c>
      <c r="D359" s="46" t="s">
        <v>685</v>
      </c>
    </row>
    <row r="360" spans="1:4" x14ac:dyDescent="0.25">
      <c r="A360" s="44" t="s">
        <v>476</v>
      </c>
      <c r="B360" s="45" t="s">
        <v>109</v>
      </c>
      <c r="C360" s="45" t="s">
        <v>365</v>
      </c>
      <c r="D360" s="46" t="s">
        <v>540</v>
      </c>
    </row>
    <row r="361" spans="1:4" x14ac:dyDescent="0.25">
      <c r="A361" s="44" t="s">
        <v>350</v>
      </c>
      <c r="B361" s="45" t="s">
        <v>174</v>
      </c>
      <c r="C361" s="45" t="s">
        <v>235</v>
      </c>
      <c r="D361" s="46" t="s">
        <v>612</v>
      </c>
    </row>
    <row r="362" spans="1:4" x14ac:dyDescent="0.25">
      <c r="A362" s="44" t="s">
        <v>406</v>
      </c>
      <c r="B362" s="45" t="s">
        <v>141</v>
      </c>
      <c r="C362" s="45" t="s">
        <v>256</v>
      </c>
      <c r="D362" s="46" t="s">
        <v>685</v>
      </c>
    </row>
    <row r="363" spans="1:4" x14ac:dyDescent="0.25">
      <c r="A363" s="44" t="s">
        <v>390</v>
      </c>
      <c r="B363" s="45" t="s">
        <v>129</v>
      </c>
      <c r="C363" s="45" t="s">
        <v>217</v>
      </c>
      <c r="D363" s="46" t="s">
        <v>577</v>
      </c>
    </row>
    <row r="364" spans="1:4" x14ac:dyDescent="0.25">
      <c r="A364" s="44" t="s">
        <v>672</v>
      </c>
      <c r="B364" s="45" t="s">
        <v>279</v>
      </c>
      <c r="C364" s="45" t="s">
        <v>224</v>
      </c>
      <c r="D364" s="46" t="s">
        <v>540</v>
      </c>
    </row>
    <row r="365" spans="1:4" x14ac:dyDescent="0.25">
      <c r="A365" s="44" t="s">
        <v>660</v>
      </c>
      <c r="B365" s="45" t="s">
        <v>164</v>
      </c>
      <c r="C365" s="45" t="s">
        <v>351</v>
      </c>
      <c r="D365" s="46" t="s">
        <v>577</v>
      </c>
    </row>
    <row r="366" spans="1:4" x14ac:dyDescent="0.25">
      <c r="A366" s="44" t="s">
        <v>549</v>
      </c>
      <c r="B366" s="45" t="s">
        <v>295</v>
      </c>
      <c r="C366" s="45" t="s">
        <v>202</v>
      </c>
      <c r="D366" s="46" t="s">
        <v>540</v>
      </c>
    </row>
    <row r="367" spans="1:4" x14ac:dyDescent="0.25">
      <c r="A367" s="44" t="s">
        <v>551</v>
      </c>
      <c r="B367" s="45" t="s">
        <v>141</v>
      </c>
      <c r="C367" s="45" t="s">
        <v>337</v>
      </c>
      <c r="D367" s="46" t="s">
        <v>685</v>
      </c>
    </row>
    <row r="368" spans="1:4" x14ac:dyDescent="0.25">
      <c r="A368" s="44" t="s">
        <v>379</v>
      </c>
      <c r="B368" s="45" t="s">
        <v>158</v>
      </c>
      <c r="C368" s="45" t="s">
        <v>226</v>
      </c>
      <c r="D368" s="46" t="s">
        <v>685</v>
      </c>
    </row>
    <row r="369" spans="1:4" x14ac:dyDescent="0.25">
      <c r="A369" s="44" t="s">
        <v>392</v>
      </c>
      <c r="B369" s="45" t="s">
        <v>111</v>
      </c>
      <c r="C369" s="45" t="s">
        <v>388</v>
      </c>
      <c r="D369" s="46" t="s">
        <v>540</v>
      </c>
    </row>
    <row r="370" spans="1:4" x14ac:dyDescent="0.25">
      <c r="A370" s="44" t="s">
        <v>380</v>
      </c>
      <c r="B370" s="45" t="s">
        <v>101</v>
      </c>
      <c r="C370" s="45" t="s">
        <v>117</v>
      </c>
      <c r="D370" s="46" t="s">
        <v>685</v>
      </c>
    </row>
    <row r="371" spans="1:4" x14ac:dyDescent="0.25">
      <c r="A371" s="44" t="s">
        <v>424</v>
      </c>
      <c r="B371" s="45" t="s">
        <v>105</v>
      </c>
      <c r="C371" s="45" t="s">
        <v>117</v>
      </c>
      <c r="D371" s="46" t="s">
        <v>577</v>
      </c>
    </row>
    <row r="372" spans="1:4" x14ac:dyDescent="0.25">
      <c r="A372" s="44" t="s">
        <v>472</v>
      </c>
      <c r="B372" s="45" t="s">
        <v>141</v>
      </c>
      <c r="C372" s="45" t="s">
        <v>388</v>
      </c>
      <c r="D372" s="46" t="s">
        <v>540</v>
      </c>
    </row>
    <row r="373" spans="1:4" x14ac:dyDescent="0.25">
      <c r="A373" s="44" t="s">
        <v>421</v>
      </c>
      <c r="B373" s="45" t="s">
        <v>102</v>
      </c>
      <c r="C373" s="45" t="s">
        <v>282</v>
      </c>
      <c r="D373" s="46" t="s">
        <v>685</v>
      </c>
    </row>
    <row r="374" spans="1:4" x14ac:dyDescent="0.25">
      <c r="A374" s="44" t="s">
        <v>591</v>
      </c>
      <c r="B374" s="45" t="s">
        <v>158</v>
      </c>
      <c r="C374" s="45" t="s">
        <v>224</v>
      </c>
      <c r="D374" s="46" t="s">
        <v>685</v>
      </c>
    </row>
    <row r="375" spans="1:4" x14ac:dyDescent="0.25">
      <c r="A375" s="44" t="s">
        <v>632</v>
      </c>
      <c r="B375" s="45" t="s">
        <v>130</v>
      </c>
      <c r="C375" s="45" t="s">
        <v>281</v>
      </c>
      <c r="D375" s="46" t="s">
        <v>540</v>
      </c>
    </row>
    <row r="376" spans="1:4" x14ac:dyDescent="0.25">
      <c r="A376" s="44" t="s">
        <v>570</v>
      </c>
      <c r="B376" s="45" t="s">
        <v>187</v>
      </c>
      <c r="C376" s="45" t="s">
        <v>408</v>
      </c>
      <c r="D376" s="46" t="s">
        <v>540</v>
      </c>
    </row>
    <row r="377" spans="1:4" x14ac:dyDescent="0.25">
      <c r="A377" s="44" t="s">
        <v>588</v>
      </c>
      <c r="B377" s="45" t="s">
        <v>130</v>
      </c>
      <c r="C377" s="45" t="s">
        <v>533</v>
      </c>
      <c r="D377" s="46" t="s">
        <v>685</v>
      </c>
    </row>
    <row r="378" spans="1:4" x14ac:dyDescent="0.25">
      <c r="A378" s="44" t="s">
        <v>600</v>
      </c>
      <c r="B378" s="45" t="s">
        <v>260</v>
      </c>
      <c r="C378" s="45" t="s">
        <v>351</v>
      </c>
      <c r="D378" s="46" t="s">
        <v>540</v>
      </c>
    </row>
    <row r="379" spans="1:4" x14ac:dyDescent="0.25">
      <c r="A379" s="44" t="s">
        <v>386</v>
      </c>
      <c r="B379" s="45" t="s">
        <v>151</v>
      </c>
      <c r="C379" s="45" t="s">
        <v>245</v>
      </c>
      <c r="D379" s="46" t="s">
        <v>577</v>
      </c>
    </row>
    <row r="380" spans="1:4" x14ac:dyDescent="0.25">
      <c r="A380" s="44" t="s">
        <v>352</v>
      </c>
      <c r="B380" s="45" t="s">
        <v>146</v>
      </c>
      <c r="C380" s="45" t="s">
        <v>204</v>
      </c>
      <c r="D380" s="46" t="s">
        <v>587</v>
      </c>
    </row>
    <row r="381" spans="1:4" x14ac:dyDescent="0.25">
      <c r="A381" s="44" t="s">
        <v>554</v>
      </c>
      <c r="B381" s="45" t="s">
        <v>140</v>
      </c>
      <c r="C381" s="45" t="s">
        <v>408</v>
      </c>
      <c r="D381" s="46" t="s">
        <v>685</v>
      </c>
    </row>
    <row r="382" spans="1:4" x14ac:dyDescent="0.25">
      <c r="A382" s="44" t="s">
        <v>466</v>
      </c>
      <c r="B382" s="45" t="s">
        <v>129</v>
      </c>
      <c r="C382" s="45" t="s">
        <v>427</v>
      </c>
      <c r="D382" s="46" t="s">
        <v>685</v>
      </c>
    </row>
    <row r="383" spans="1:4" x14ac:dyDescent="0.25">
      <c r="A383" s="44" t="s">
        <v>674</v>
      </c>
      <c r="B383" s="45" t="s">
        <v>164</v>
      </c>
      <c r="C383" s="45" t="s">
        <v>233</v>
      </c>
      <c r="D383" s="46" t="s">
        <v>612</v>
      </c>
    </row>
    <row r="384" spans="1:4" x14ac:dyDescent="0.25">
      <c r="A384" s="44" t="s">
        <v>575</v>
      </c>
      <c r="B384" s="45" t="s">
        <v>140</v>
      </c>
      <c r="C384" s="45" t="s">
        <v>217</v>
      </c>
      <c r="D384" s="46" t="s">
        <v>682</v>
      </c>
    </row>
    <row r="385" spans="1:4" x14ac:dyDescent="0.25">
      <c r="A385" s="44" t="s">
        <v>507</v>
      </c>
      <c r="B385" s="45" t="s">
        <v>139</v>
      </c>
      <c r="C385" s="45" t="s">
        <v>427</v>
      </c>
      <c r="D385" s="46" t="s">
        <v>685</v>
      </c>
    </row>
    <row r="386" spans="1:4" x14ac:dyDescent="0.25">
      <c r="A386" s="44" t="s">
        <v>564</v>
      </c>
      <c r="B386" s="45" t="s">
        <v>129</v>
      </c>
      <c r="C386" s="45" t="s">
        <v>533</v>
      </c>
      <c r="D386" s="46" t="s">
        <v>612</v>
      </c>
    </row>
    <row r="387" spans="1:4" x14ac:dyDescent="0.25">
      <c r="A387" s="44" t="s">
        <v>243</v>
      </c>
      <c r="B387" s="45" t="s">
        <v>111</v>
      </c>
      <c r="C387" s="45" t="s">
        <v>183</v>
      </c>
      <c r="D387" s="46" t="s">
        <v>612</v>
      </c>
    </row>
    <row r="388" spans="1:4" x14ac:dyDescent="0.25">
      <c r="A388" s="44" t="s">
        <v>290</v>
      </c>
      <c r="B388" s="45" t="s">
        <v>109</v>
      </c>
      <c r="C388" s="45" t="s">
        <v>220</v>
      </c>
      <c r="D388" s="46" t="s">
        <v>683</v>
      </c>
    </row>
    <row r="389" spans="1:4" x14ac:dyDescent="0.25">
      <c r="A389" s="44" t="s">
        <v>294</v>
      </c>
      <c r="B389" s="45" t="s">
        <v>146</v>
      </c>
      <c r="C389" s="45" t="s">
        <v>256</v>
      </c>
      <c r="D389" s="46" t="s">
        <v>680</v>
      </c>
    </row>
    <row r="390" spans="1:4" x14ac:dyDescent="0.25">
      <c r="A390" s="44" t="s">
        <v>239</v>
      </c>
      <c r="B390" s="45" t="s">
        <v>160</v>
      </c>
      <c r="C390" s="45" t="s">
        <v>240</v>
      </c>
      <c r="D390" s="46" t="s">
        <v>608</v>
      </c>
    </row>
    <row r="391" spans="1:4" x14ac:dyDescent="0.25">
      <c r="A391" s="44" t="s">
        <v>664</v>
      </c>
      <c r="B391" s="45" t="s">
        <v>141</v>
      </c>
      <c r="C391" s="45" t="s">
        <v>233</v>
      </c>
      <c r="D391" s="46" t="s">
        <v>577</v>
      </c>
    </row>
    <row r="392" spans="1:4" x14ac:dyDescent="0.25">
      <c r="A392" s="44" t="s">
        <v>246</v>
      </c>
      <c r="B392" s="45" t="s">
        <v>169</v>
      </c>
      <c r="C392" s="45" t="s">
        <v>196</v>
      </c>
      <c r="D392" s="46" t="s">
        <v>608</v>
      </c>
    </row>
    <row r="393" spans="1:4" x14ac:dyDescent="0.25">
      <c r="A393" s="44" t="s">
        <v>637</v>
      </c>
      <c r="B393" s="45" t="s">
        <v>187</v>
      </c>
      <c r="C393" s="45" t="s">
        <v>594</v>
      </c>
      <c r="D393" s="46" t="s">
        <v>685</v>
      </c>
    </row>
    <row r="394" spans="1:4" x14ac:dyDescent="0.25">
      <c r="A394" s="44" t="s">
        <v>661</v>
      </c>
      <c r="B394" s="45" t="s">
        <v>279</v>
      </c>
      <c r="C394" s="45" t="s">
        <v>232</v>
      </c>
      <c r="D394" s="46" t="s">
        <v>577</v>
      </c>
    </row>
    <row r="395" spans="1:4" x14ac:dyDescent="0.25">
      <c r="A395" s="44" t="s">
        <v>662</v>
      </c>
      <c r="B395" s="45" t="s">
        <v>259</v>
      </c>
      <c r="C395" s="45" t="s">
        <v>224</v>
      </c>
      <c r="D395" s="46" t="s">
        <v>540</v>
      </c>
    </row>
    <row r="396" spans="1:4" x14ac:dyDescent="0.25">
      <c r="A396" s="44" t="s">
        <v>670</v>
      </c>
      <c r="B396" s="45" t="s">
        <v>130</v>
      </c>
      <c r="C396" s="45" t="s">
        <v>223</v>
      </c>
      <c r="D396" s="46" t="s">
        <v>685</v>
      </c>
    </row>
    <row r="397" spans="1:4" x14ac:dyDescent="0.25">
      <c r="A397" s="44" t="s">
        <v>552</v>
      </c>
      <c r="B397" s="45" t="s">
        <v>130</v>
      </c>
      <c r="C397" s="45" t="s">
        <v>460</v>
      </c>
      <c r="D397" s="46" t="s">
        <v>685</v>
      </c>
    </row>
    <row r="398" spans="1:4" x14ac:dyDescent="0.25">
      <c r="A398" s="44" t="s">
        <v>640</v>
      </c>
      <c r="B398" s="45" t="s">
        <v>279</v>
      </c>
      <c r="C398" s="45" t="s">
        <v>98</v>
      </c>
      <c r="D398" s="46" t="s">
        <v>680</v>
      </c>
    </row>
    <row r="399" spans="1:4" x14ac:dyDescent="0.25">
      <c r="A399" s="44" t="s">
        <v>470</v>
      </c>
      <c r="B399" s="45" t="s">
        <v>128</v>
      </c>
      <c r="C399" s="45" t="s">
        <v>460</v>
      </c>
      <c r="D399" s="46" t="s">
        <v>577</v>
      </c>
    </row>
    <row r="400" spans="1:4" x14ac:dyDescent="0.25">
      <c r="A400" s="44" t="s">
        <v>283</v>
      </c>
      <c r="B400" s="45" t="s">
        <v>127</v>
      </c>
      <c r="C400" s="45" t="s">
        <v>235</v>
      </c>
      <c r="D400" s="46" t="s">
        <v>680</v>
      </c>
    </row>
    <row r="401" spans="1:4" x14ac:dyDescent="0.25">
      <c r="A401" s="44" t="s">
        <v>250</v>
      </c>
      <c r="B401" s="45" t="s">
        <v>156</v>
      </c>
      <c r="C401" s="45" t="s">
        <v>189</v>
      </c>
      <c r="D401" s="46" t="s">
        <v>679</v>
      </c>
    </row>
    <row r="402" spans="1:4" x14ac:dyDescent="0.25">
      <c r="A402" s="44" t="s">
        <v>288</v>
      </c>
      <c r="B402" s="45" t="s">
        <v>140</v>
      </c>
      <c r="C402" s="45" t="s">
        <v>220</v>
      </c>
      <c r="D402" s="46" t="s">
        <v>680</v>
      </c>
    </row>
    <row r="403" spans="1:4" x14ac:dyDescent="0.25">
      <c r="A403" s="44" t="s">
        <v>436</v>
      </c>
      <c r="B403" s="45" t="s">
        <v>142</v>
      </c>
      <c r="C403" s="45" t="s">
        <v>256</v>
      </c>
      <c r="D403" s="46" t="s">
        <v>587</v>
      </c>
    </row>
    <row r="404" spans="1:4" x14ac:dyDescent="0.25">
      <c r="A404" s="44" t="s">
        <v>429</v>
      </c>
      <c r="B404" s="45" t="s">
        <v>111</v>
      </c>
      <c r="C404" s="45" t="s">
        <v>117</v>
      </c>
      <c r="D404" s="46" t="s">
        <v>612</v>
      </c>
    </row>
    <row r="405" spans="1:4" x14ac:dyDescent="0.25">
      <c r="A405" s="44" t="s">
        <v>334</v>
      </c>
      <c r="B405" s="45" t="s">
        <v>128</v>
      </c>
      <c r="C405" s="45" t="s">
        <v>240</v>
      </c>
      <c r="D405" s="46" t="s">
        <v>540</v>
      </c>
    </row>
    <row r="406" spans="1:4" x14ac:dyDescent="0.25">
      <c r="A406" s="44" t="s">
        <v>317</v>
      </c>
      <c r="B406" s="45" t="s">
        <v>104</v>
      </c>
      <c r="C406" s="45" t="s">
        <v>298</v>
      </c>
      <c r="D406" s="46" t="s">
        <v>474</v>
      </c>
    </row>
    <row r="407" spans="1:4" x14ac:dyDescent="0.25">
      <c r="A407" s="44" t="s">
        <v>425</v>
      </c>
      <c r="B407" s="45" t="s">
        <v>109</v>
      </c>
      <c r="C407" s="45" t="s">
        <v>287</v>
      </c>
      <c r="D407" s="46" t="s">
        <v>577</v>
      </c>
    </row>
    <row r="408" spans="1:4" x14ac:dyDescent="0.25">
      <c r="A408" s="44" t="s">
        <v>468</v>
      </c>
      <c r="B408" s="45" t="s">
        <v>127</v>
      </c>
      <c r="C408" s="45" t="s">
        <v>460</v>
      </c>
      <c r="D408" s="46" t="s">
        <v>540</v>
      </c>
    </row>
    <row r="409" spans="1:4" x14ac:dyDescent="0.25">
      <c r="A409" s="44" t="s">
        <v>258</v>
      </c>
      <c r="B409" s="45" t="s">
        <v>164</v>
      </c>
      <c r="C409" s="45" t="s">
        <v>189</v>
      </c>
      <c r="D409" s="46" t="s">
        <v>683</v>
      </c>
    </row>
    <row r="410" spans="1:4" x14ac:dyDescent="0.25">
      <c r="A410" s="44" t="s">
        <v>312</v>
      </c>
      <c r="B410" s="45" t="s">
        <v>93</v>
      </c>
      <c r="C410" s="45" t="s">
        <v>251</v>
      </c>
      <c r="D410" s="46" t="s">
        <v>488</v>
      </c>
    </row>
    <row r="411" spans="1:4" x14ac:dyDescent="0.25">
      <c r="A411" s="44" t="s">
        <v>157</v>
      </c>
      <c r="B411" s="45" t="s">
        <v>105</v>
      </c>
      <c r="C411" s="45" t="s">
        <v>153</v>
      </c>
      <c r="D411" s="46" t="s">
        <v>608</v>
      </c>
    </row>
    <row r="412" spans="1:4" x14ac:dyDescent="0.25">
      <c r="A412" s="44" t="s">
        <v>230</v>
      </c>
      <c r="B412" s="45" t="s">
        <v>174</v>
      </c>
      <c r="C412" s="45" t="s">
        <v>201</v>
      </c>
      <c r="D412" s="46" t="s">
        <v>433</v>
      </c>
    </row>
    <row r="413" spans="1:4" x14ac:dyDescent="0.25">
      <c r="A413" s="44" t="s">
        <v>509</v>
      </c>
      <c r="B413" s="45" t="s">
        <v>128</v>
      </c>
      <c r="C413" s="45" t="s">
        <v>185</v>
      </c>
      <c r="D413" s="46" t="s">
        <v>612</v>
      </c>
    </row>
    <row r="414" spans="1:4" x14ac:dyDescent="0.25">
      <c r="A414" s="44" t="s">
        <v>252</v>
      </c>
      <c r="B414" s="45" t="s">
        <v>139</v>
      </c>
      <c r="C414" s="45" t="s">
        <v>125</v>
      </c>
      <c r="D414" s="46" t="s">
        <v>682</v>
      </c>
    </row>
    <row r="415" spans="1:4" x14ac:dyDescent="0.25">
      <c r="A415" s="44" t="s">
        <v>633</v>
      </c>
      <c r="B415" s="45" t="s">
        <v>142</v>
      </c>
      <c r="C415" s="45" t="s">
        <v>594</v>
      </c>
      <c r="D415" s="46" t="s">
        <v>540</v>
      </c>
    </row>
    <row r="416" spans="1:4" x14ac:dyDescent="0.25">
      <c r="A416" s="44" t="s">
        <v>208</v>
      </c>
      <c r="B416" s="45" t="s">
        <v>109</v>
      </c>
      <c r="C416" s="45" t="s">
        <v>170</v>
      </c>
      <c r="D416" s="46" t="s">
        <v>577</v>
      </c>
    </row>
    <row r="417" spans="1:4" x14ac:dyDescent="0.25">
      <c r="A417" s="44" t="s">
        <v>175</v>
      </c>
      <c r="B417" s="45" t="s">
        <v>127</v>
      </c>
      <c r="C417" s="45" t="s">
        <v>177</v>
      </c>
      <c r="D417" s="46" t="s">
        <v>686</v>
      </c>
    </row>
    <row r="418" spans="1:4" x14ac:dyDescent="0.25">
      <c r="A418" s="44" t="s">
        <v>519</v>
      </c>
      <c r="B418" s="45" t="s">
        <v>105</v>
      </c>
      <c r="C418" s="45" t="s">
        <v>298</v>
      </c>
      <c r="D418" s="46" t="s">
        <v>577</v>
      </c>
    </row>
    <row r="419" spans="1:4" x14ac:dyDescent="0.25">
      <c r="A419" s="44" t="s">
        <v>370</v>
      </c>
      <c r="B419" s="45" t="s">
        <v>158</v>
      </c>
      <c r="C419" s="45" t="s">
        <v>240</v>
      </c>
      <c r="D419" s="46" t="s">
        <v>540</v>
      </c>
    </row>
    <row r="420" spans="1:4" x14ac:dyDescent="0.25">
      <c r="A420" s="44" t="s">
        <v>543</v>
      </c>
      <c r="B420" s="45" t="s">
        <v>93</v>
      </c>
      <c r="C420" s="45" t="s">
        <v>287</v>
      </c>
      <c r="D420" s="46" t="s">
        <v>681</v>
      </c>
    </row>
    <row r="421" spans="1:4" x14ac:dyDescent="0.25">
      <c r="A421" s="44" t="s">
        <v>439</v>
      </c>
      <c r="B421" s="45" t="s">
        <v>151</v>
      </c>
      <c r="C421" s="45" t="s">
        <v>97</v>
      </c>
      <c r="D421" s="46" t="s">
        <v>681</v>
      </c>
    </row>
    <row r="422" spans="1:4" x14ac:dyDescent="0.25">
      <c r="A422" s="44" t="s">
        <v>563</v>
      </c>
      <c r="B422" s="45" t="s">
        <v>140</v>
      </c>
      <c r="C422" s="45" t="s">
        <v>298</v>
      </c>
      <c r="D422" s="46" t="s">
        <v>612</v>
      </c>
    </row>
    <row r="423" spans="1:4" x14ac:dyDescent="0.25">
      <c r="A423" s="44" t="s">
        <v>477</v>
      </c>
      <c r="B423" s="45" t="s">
        <v>122</v>
      </c>
      <c r="C423" s="45" t="s">
        <v>388</v>
      </c>
      <c r="D423" s="46" t="s">
        <v>577</v>
      </c>
    </row>
    <row r="424" spans="1:4" x14ac:dyDescent="0.25">
      <c r="A424" s="44" t="s">
        <v>434</v>
      </c>
      <c r="B424" s="45" t="s">
        <v>176</v>
      </c>
      <c r="C424" s="45" t="s">
        <v>220</v>
      </c>
      <c r="D424" s="46" t="s">
        <v>577</v>
      </c>
    </row>
    <row r="425" spans="1:4" x14ac:dyDescent="0.25">
      <c r="A425" s="44" t="s">
        <v>555</v>
      </c>
      <c r="B425" s="45" t="s">
        <v>158</v>
      </c>
      <c r="C425" s="45" t="s">
        <v>232</v>
      </c>
      <c r="D425" s="46" t="s">
        <v>577</v>
      </c>
    </row>
    <row r="426" spans="1:4" x14ac:dyDescent="0.25">
      <c r="A426" s="44" t="s">
        <v>625</v>
      </c>
      <c r="B426" s="45" t="s">
        <v>156</v>
      </c>
      <c r="C426" s="45" t="s">
        <v>446</v>
      </c>
      <c r="D426" s="46" t="s">
        <v>681</v>
      </c>
    </row>
    <row r="427" spans="1:4" x14ac:dyDescent="0.25">
      <c r="A427" s="44" t="s">
        <v>275</v>
      </c>
      <c r="B427" s="45" t="s">
        <v>128</v>
      </c>
      <c r="C427" s="45" t="s">
        <v>179</v>
      </c>
      <c r="D427" s="46" t="s">
        <v>577</v>
      </c>
    </row>
    <row r="428" spans="1:4" x14ac:dyDescent="0.25">
      <c r="A428" s="44" t="s">
        <v>503</v>
      </c>
      <c r="B428" s="45" t="s">
        <v>130</v>
      </c>
      <c r="C428" s="45" t="s">
        <v>203</v>
      </c>
      <c r="D428" s="46" t="s">
        <v>587</v>
      </c>
    </row>
    <row r="429" spans="1:4" x14ac:dyDescent="0.25">
      <c r="A429" s="44" t="s">
        <v>159</v>
      </c>
      <c r="B429" s="45" t="s">
        <v>105</v>
      </c>
      <c r="C429" s="45" t="s">
        <v>149</v>
      </c>
      <c r="D429" s="46" t="s">
        <v>680</v>
      </c>
    </row>
    <row r="430" spans="1:4" x14ac:dyDescent="0.25">
      <c r="A430" s="44" t="s">
        <v>638</v>
      </c>
      <c r="B430" s="45" t="s">
        <v>295</v>
      </c>
      <c r="C430" s="45" t="s">
        <v>562</v>
      </c>
      <c r="D430" s="46" t="s">
        <v>577</v>
      </c>
    </row>
    <row r="431" spans="1:4" x14ac:dyDescent="0.25">
      <c r="A431" s="44" t="s">
        <v>437</v>
      </c>
      <c r="B431" s="45" t="s">
        <v>105</v>
      </c>
      <c r="C431" s="45" t="s">
        <v>282</v>
      </c>
      <c r="D431" s="46" t="s">
        <v>540</v>
      </c>
    </row>
    <row r="432" spans="1:4" x14ac:dyDescent="0.25">
      <c r="A432" s="44" t="s">
        <v>387</v>
      </c>
      <c r="B432" s="45" t="s">
        <v>151</v>
      </c>
      <c r="C432" s="45" t="s">
        <v>388</v>
      </c>
      <c r="D432" s="46" t="s">
        <v>685</v>
      </c>
    </row>
    <row r="433" spans="1:4" x14ac:dyDescent="0.25">
      <c r="A433" s="44" t="s">
        <v>415</v>
      </c>
      <c r="B433" s="45" t="s">
        <v>105</v>
      </c>
      <c r="C433" s="45" t="s">
        <v>203</v>
      </c>
      <c r="D433" s="46" t="s">
        <v>685</v>
      </c>
    </row>
    <row r="434" spans="1:4" x14ac:dyDescent="0.25">
      <c r="A434" s="44" t="s">
        <v>656</v>
      </c>
      <c r="B434" s="45" t="s">
        <v>207</v>
      </c>
      <c r="C434" s="45" t="s">
        <v>98</v>
      </c>
      <c r="D434" s="46" t="s">
        <v>540</v>
      </c>
    </row>
    <row r="435" spans="1:4" x14ac:dyDescent="0.25">
      <c r="A435" s="44" t="s">
        <v>366</v>
      </c>
      <c r="B435" s="45" t="s">
        <v>129</v>
      </c>
      <c r="C435" s="45" t="s">
        <v>117</v>
      </c>
      <c r="D435" s="46" t="s">
        <v>540</v>
      </c>
    </row>
    <row r="436" spans="1:4" x14ac:dyDescent="0.25">
      <c r="A436" s="44" t="s">
        <v>536</v>
      </c>
      <c r="B436" s="45" t="s">
        <v>158</v>
      </c>
      <c r="C436" s="45" t="s">
        <v>388</v>
      </c>
      <c r="D436" s="46" t="s">
        <v>612</v>
      </c>
    </row>
    <row r="437" spans="1:4" x14ac:dyDescent="0.25">
      <c r="A437" s="44" t="s">
        <v>506</v>
      </c>
      <c r="B437" s="45" t="s">
        <v>151</v>
      </c>
      <c r="C437" s="45" t="s">
        <v>245</v>
      </c>
      <c r="D437" s="46" t="s">
        <v>685</v>
      </c>
    </row>
    <row r="438" spans="1:4" x14ac:dyDescent="0.25">
      <c r="A438" s="44" t="s">
        <v>516</v>
      </c>
      <c r="B438" s="45" t="s">
        <v>187</v>
      </c>
      <c r="C438" s="45" t="s">
        <v>460</v>
      </c>
      <c r="D438" s="46" t="s">
        <v>680</v>
      </c>
    </row>
    <row r="439" spans="1:4" x14ac:dyDescent="0.25">
      <c r="A439" s="44" t="s">
        <v>631</v>
      </c>
      <c r="B439" s="45" t="s">
        <v>139</v>
      </c>
      <c r="C439" s="45" t="s">
        <v>594</v>
      </c>
      <c r="D439" s="46" t="s">
        <v>685</v>
      </c>
    </row>
    <row r="440" spans="1:4" x14ac:dyDescent="0.25">
      <c r="A440" s="44" t="s">
        <v>168</v>
      </c>
      <c r="B440" s="45" t="s">
        <v>96</v>
      </c>
      <c r="C440" s="45" t="s">
        <v>131</v>
      </c>
      <c r="D440" s="46" t="s">
        <v>550</v>
      </c>
    </row>
    <row r="441" spans="1:4" x14ac:dyDescent="0.25">
      <c r="A441" s="44" t="s">
        <v>215</v>
      </c>
      <c r="B441" s="45" t="s">
        <v>102</v>
      </c>
      <c r="C441" s="45" t="s">
        <v>192</v>
      </c>
      <c r="D441" s="46" t="s">
        <v>550</v>
      </c>
    </row>
    <row r="442" spans="1:4" x14ac:dyDescent="0.25">
      <c r="A442" s="44" t="s">
        <v>574</v>
      </c>
      <c r="B442" s="45" t="s">
        <v>146</v>
      </c>
      <c r="C442" s="45" t="s">
        <v>220</v>
      </c>
      <c r="D442" s="46" t="s">
        <v>433</v>
      </c>
    </row>
    <row r="443" spans="1:4" x14ac:dyDescent="0.25">
      <c r="A443" s="44" t="s">
        <v>193</v>
      </c>
      <c r="B443" s="45" t="s">
        <v>104</v>
      </c>
      <c r="C443" s="45" t="s">
        <v>125</v>
      </c>
      <c r="D443" s="46" t="s">
        <v>329</v>
      </c>
    </row>
    <row r="444" spans="1:4" x14ac:dyDescent="0.25">
      <c r="A444" s="44" t="s">
        <v>457</v>
      </c>
      <c r="B444" s="45" t="s">
        <v>96</v>
      </c>
      <c r="C444" s="45" t="s">
        <v>97</v>
      </c>
      <c r="D444" s="46" t="s">
        <v>680</v>
      </c>
    </row>
    <row r="445" spans="1:4" x14ac:dyDescent="0.25">
      <c r="A445" s="44" t="s">
        <v>532</v>
      </c>
      <c r="B445" s="45" t="s">
        <v>102</v>
      </c>
      <c r="C445" s="45" t="s">
        <v>298</v>
      </c>
      <c r="D445" s="46" t="s">
        <v>540</v>
      </c>
    </row>
    <row r="446" spans="1:4" x14ac:dyDescent="0.25">
      <c r="A446" s="44" t="s">
        <v>620</v>
      </c>
      <c r="B446" s="45" t="s">
        <v>187</v>
      </c>
      <c r="C446" s="45" t="s">
        <v>98</v>
      </c>
      <c r="D446" s="46" t="s">
        <v>577</v>
      </c>
    </row>
    <row r="447" spans="1:4" x14ac:dyDescent="0.25">
      <c r="A447" s="44" t="s">
        <v>566</v>
      </c>
      <c r="B447" s="45" t="s">
        <v>336</v>
      </c>
      <c r="C447" s="45" t="s">
        <v>281</v>
      </c>
      <c r="D447" s="46" t="s">
        <v>474</v>
      </c>
    </row>
    <row r="448" spans="1:4" x14ac:dyDescent="0.25">
      <c r="A448" s="44" t="s">
        <v>278</v>
      </c>
      <c r="B448" s="45" t="s">
        <v>160</v>
      </c>
      <c r="C448" s="45" t="s">
        <v>106</v>
      </c>
      <c r="D448" s="46" t="s">
        <v>612</v>
      </c>
    </row>
    <row r="449" spans="1:4" x14ac:dyDescent="0.25">
      <c r="A449" s="44" t="s">
        <v>296</v>
      </c>
      <c r="B449" s="45" t="s">
        <v>109</v>
      </c>
      <c r="C449" s="45" t="s">
        <v>220</v>
      </c>
      <c r="D449" s="46" t="s">
        <v>685</v>
      </c>
    </row>
    <row r="450" spans="1:4" x14ac:dyDescent="0.25">
      <c r="A450" s="44" t="s">
        <v>368</v>
      </c>
      <c r="B450" s="45" t="s">
        <v>163</v>
      </c>
      <c r="C450" s="45" t="s">
        <v>256</v>
      </c>
      <c r="D450" s="46" t="s">
        <v>685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Из коридоров</vt:lpstr>
      <vt:lpstr>Климатологические данные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 Дунаев</dc:creator>
  <cp:lastModifiedBy>Алексей Дунаев</cp:lastModifiedBy>
  <dcterms:created xsi:type="dcterms:W3CDTF">2025-02-08T09:42:43Z</dcterms:created>
  <dcterms:modified xsi:type="dcterms:W3CDTF">2025-07-07T06:41:35Z</dcterms:modified>
</cp:coreProperties>
</file>